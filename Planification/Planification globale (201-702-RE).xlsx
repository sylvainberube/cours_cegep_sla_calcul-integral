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D:\Dropbox\A Sylvain Bérubé\A-4 Enseignement\GitHub\cours_cegep_sla_calcul-integral\Planification\"/>
    </mc:Choice>
  </mc:AlternateContent>
  <xr:revisionPtr revIDLastSave="0" documentId="13_ncr:1_{C0A63DB5-37DE-44C9-BFB6-1EB1B4DEEB4F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06110" sheetId="5" r:id="rId1"/>
    <sheet name="06111" sheetId="7" r:id="rId2"/>
    <sheet name="Concepts" sheetId="1" r:id="rId3"/>
    <sheet name="Parti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5" l="1"/>
  <c r="F39" i="1"/>
  <c r="F23" i="1"/>
  <c r="G3" i="7"/>
  <c r="G4" i="7" s="1"/>
  <c r="G5" i="7" s="1"/>
  <c r="G6" i="7" s="1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J7" i="1"/>
  <c r="F12" i="1"/>
  <c r="C5" i="2" l="1"/>
</calcChain>
</file>

<file path=xl/sharedStrings.xml><?xml version="1.0" encoding="utf-8"?>
<sst xmlns="http://schemas.openxmlformats.org/spreadsheetml/2006/main" count="387" uniqueCount="93">
  <si>
    <t>Partie</t>
  </si>
  <si>
    <t>Semaine</t>
  </si>
  <si>
    <t>Durée</t>
  </si>
  <si>
    <t>Durée (h)</t>
  </si>
  <si>
    <t>Titre</t>
  </si>
  <si>
    <t>Séance</t>
  </si>
  <si>
    <t>Jour</t>
  </si>
  <si>
    <t>Date</t>
  </si>
  <si>
    <t>Heure</t>
  </si>
  <si>
    <t>Total</t>
  </si>
  <si>
    <t>Local</t>
  </si>
  <si>
    <t>Contenu</t>
  </si>
  <si>
    <t>Évaluation</t>
  </si>
  <si>
    <t>Commentaires</t>
  </si>
  <si>
    <t>Ordre</t>
  </si>
  <si>
    <t>Devoir 1</t>
  </si>
  <si>
    <t>Devoir 2</t>
  </si>
  <si>
    <t>Devoir 3</t>
  </si>
  <si>
    <t>Devoir 4</t>
  </si>
  <si>
    <t>Devoir 5</t>
  </si>
  <si>
    <t>Devoir 6</t>
  </si>
  <si>
    <t>Examen 1</t>
  </si>
  <si>
    <t>Lundi</t>
  </si>
  <si>
    <t>Mardi</t>
  </si>
  <si>
    <t>10h30</t>
  </si>
  <si>
    <t>Les séries</t>
  </si>
  <si>
    <t>L'intégrale</t>
  </si>
  <si>
    <t>Techniques d’intégration et équations différentielles</t>
  </si>
  <si>
    <t>Section</t>
  </si>
  <si>
    <t>1.2 La notation sigma, propriétés et induction</t>
  </si>
  <si>
    <t>6.1 Les suites</t>
  </si>
  <si>
    <t>6.2 Les séries</t>
  </si>
  <si>
    <t>6.3 Les séries à termes positifs</t>
  </si>
  <si>
    <t>6.4 Les séries alternées</t>
  </si>
  <si>
    <t>6.7 Les séries de puissances</t>
  </si>
  <si>
    <t>6.8 Les représentations de fonctions sous forme de séries de puissances</t>
  </si>
  <si>
    <t>6.9 Les séries de Taylor et de MacLaurin</t>
  </si>
  <si>
    <t>6.10 Quelques applications des polynômes de Taylor</t>
  </si>
  <si>
    <t>1.1 La primitive et l’intégrale indéfinie</t>
  </si>
  <si>
    <t>1.3 L’aire et l’intégrale définie</t>
  </si>
  <si>
    <t>1.4 Le théorème fondamental du calcul différentiel et intégral</t>
  </si>
  <si>
    <t>1.5 La règle du changement de variable</t>
  </si>
  <si>
    <t>2.1 L’aire de la région entre deux courbes</t>
  </si>
  <si>
    <t>2.2 Le calcul d’un volume par la méthode des tranches</t>
  </si>
  <si>
    <t>2.3 Le calcul d’un volume par la méthode des coquilles cylindriques (tubes)</t>
  </si>
  <si>
    <t>2.4 La valeur moyenne d’une fonction</t>
  </si>
  <si>
    <t>3.1 L’intégration par parties</t>
  </si>
  <si>
    <t>3.2 Les intégrales de fonctions trigonométriques</t>
  </si>
  <si>
    <t>3.3 La substitution trigonométrique</t>
  </si>
  <si>
    <t>3.6 Les formes indéterminées et la règle de L’Hospital</t>
  </si>
  <si>
    <t>3.7 L’intégrale impropre</t>
  </si>
  <si>
    <t>4.1 La longueur d’un arc de courbe</t>
  </si>
  <si>
    <t>4.2 L’aire d’une surface de révolution</t>
  </si>
  <si>
    <t>4.3 Les applications aux domaines de la physique et du génie</t>
  </si>
  <si>
    <t>4.4 Les applications aux domaines de l’économie et de la biologie</t>
  </si>
  <si>
    <t>4.5 Les probabilités</t>
  </si>
  <si>
    <t>5.1 La modélisation avec des équations différentielles</t>
  </si>
  <si>
    <t>5.2 Le champ de directions et la méthode d’Euler</t>
  </si>
  <si>
    <t>5.3 Les équations différentielles à variables séparables</t>
  </si>
  <si>
    <t>5.4 Les modèles de la croissance d’une population</t>
  </si>
  <si>
    <t>Examen 2</t>
  </si>
  <si>
    <t>Examen final</t>
  </si>
  <si>
    <t>Durée totale</t>
  </si>
  <si>
    <t>12h30</t>
  </si>
  <si>
    <t>2-54-204</t>
  </si>
  <si>
    <t>2-51-216</t>
  </si>
  <si>
    <t>Formulaire présentation</t>
  </si>
  <si>
    <t>Semaine de relâche</t>
  </si>
  <si>
    <t>—</t>
  </si>
  <si>
    <t>Lundi de Pâques</t>
  </si>
  <si>
    <t>Journée nationale des Patriotes</t>
  </si>
  <si>
    <t>Assemblée générale étudiante (12h30–15h30)</t>
  </si>
  <si>
    <t>Minitest 1</t>
  </si>
  <si>
    <t>Minitest 3</t>
  </si>
  <si>
    <t>14h30</t>
  </si>
  <si>
    <t>08h30</t>
  </si>
  <si>
    <t>15h30</t>
  </si>
  <si>
    <t>Séance d'exercices. Assemblée générale étudiante (12h30–15h30)</t>
  </si>
  <si>
    <t>Horaire du lundi</t>
  </si>
  <si>
    <t>6.1 Les suites
1.2 Notation sigma</t>
  </si>
  <si>
    <t>Révision</t>
  </si>
  <si>
    <t>6.3 Séries termes positifs</t>
  </si>
  <si>
    <t>6.4 Séries alternées</t>
  </si>
  <si>
    <t>6.9 Séries Taylor MacLaurin</t>
  </si>
  <si>
    <t>6.7 Séries de puissance</t>
  </si>
  <si>
    <t>6.8 Fonctions séries de puissances</t>
  </si>
  <si>
    <t>x</t>
  </si>
  <si>
    <t>Retour sur examen 1</t>
  </si>
  <si>
    <t>Grève étudiante</t>
  </si>
  <si>
    <t>11, 12</t>
  </si>
  <si>
    <t>Devoir 7</t>
  </si>
  <si>
    <t>Devoir 8</t>
  </si>
  <si>
    <t>Si besoin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</si>
</sst>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d\ mmmm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name val="Cambria"/>
      <family val="1"/>
    </font>
    <font>
      <i/>
      <sz val="11"/>
      <name val="Cambria"/>
      <family val="1"/>
    </font>
    <font>
      <b/>
      <sz val="11"/>
      <name val="Cambria"/>
      <family val="1"/>
    </font>
    <font>
      <sz val="11"/>
      <color theme="0" tint="-0.14999847407452621"/>
      <name val="Cambria"/>
      <family val="1"/>
    </font>
    <font>
      <sz val="11"/>
      <color theme="4" tint="-0.499984740745262"/>
      <name val="Cambria"/>
      <family val="1"/>
    </font>
    <font>
      <sz val="11"/>
      <color theme="4" tint="-0.249977111117893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165" fontId="3" fillId="3" borderId="1" xfId="0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165" fontId="3" fillId="4" borderId="1" xfId="0" applyNumberFormat="1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0" fontId="1" fillId="0" borderId="1" xfId="0" quotePrefix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vertical="center"/>
    </xf>
    <xf numFmtId="165" fontId="1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zoomScale="130" zoomScaleNormal="13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37" sqref="A37"/>
    </sheetView>
  </sheetViews>
  <sheetFormatPr baseColWidth="10" defaultColWidth="11.42578125" defaultRowHeight="15" customHeight="1" x14ac:dyDescent="0.25"/>
  <cols>
    <col min="1" max="1" width="9.7109375" style="9" bestFit="1" customWidth="1"/>
    <col min="2" max="2" width="8.140625" style="9" bestFit="1" customWidth="1"/>
    <col min="3" max="3" width="6.28515625" style="1" bestFit="1" customWidth="1"/>
    <col min="4" max="4" width="10.140625" style="10" bestFit="1" customWidth="1"/>
    <col min="5" max="6" width="7.42578125" style="9" bestFit="1" customWidth="1"/>
    <col min="7" max="7" width="6.5703125" style="9" bestFit="1" customWidth="1"/>
    <col min="8" max="8" width="9.5703125" style="9" bestFit="1" customWidth="1"/>
    <col min="9" max="9" width="7.28515625" style="9" bestFit="1" customWidth="1"/>
    <col min="10" max="10" width="34" style="6" customWidth="1"/>
    <col min="11" max="11" width="16.5703125" style="1" customWidth="1"/>
    <col min="12" max="12" width="42.85546875" style="1" bestFit="1" customWidth="1"/>
    <col min="13" max="13" width="13.140625" style="1" bestFit="1" customWidth="1"/>
    <col min="14" max="17" width="11.42578125" style="1"/>
    <col min="18" max="18" width="14.140625" style="1" bestFit="1" customWidth="1"/>
    <col min="19" max="16384" width="11.42578125" style="1"/>
  </cols>
  <sheetData>
    <row r="1" spans="1:13" ht="15" customHeight="1" x14ac:dyDescent="0.25">
      <c r="A1" s="27" t="s">
        <v>1</v>
      </c>
      <c r="B1" s="27" t="s">
        <v>5</v>
      </c>
      <c r="C1" s="27" t="s">
        <v>6</v>
      </c>
      <c r="D1" s="27" t="s">
        <v>7</v>
      </c>
      <c r="E1" s="27" t="s">
        <v>8</v>
      </c>
      <c r="F1" s="27" t="s">
        <v>2</v>
      </c>
      <c r="G1" s="27" t="s">
        <v>9</v>
      </c>
      <c r="H1" s="27" t="s">
        <v>10</v>
      </c>
      <c r="I1" s="27" t="s">
        <v>0</v>
      </c>
      <c r="J1" s="32" t="s">
        <v>11</v>
      </c>
      <c r="K1" s="27" t="s">
        <v>12</v>
      </c>
      <c r="L1" s="27" t="s">
        <v>13</v>
      </c>
    </row>
    <row r="2" spans="1:13" ht="28.5" x14ac:dyDescent="0.25">
      <c r="A2" s="28">
        <v>1</v>
      </c>
      <c r="B2" s="28">
        <v>1</v>
      </c>
      <c r="C2" s="17" t="s">
        <v>22</v>
      </c>
      <c r="D2" s="18">
        <v>45320</v>
      </c>
      <c r="E2" s="28" t="s">
        <v>24</v>
      </c>
      <c r="F2" s="28">
        <v>2</v>
      </c>
      <c r="G2" s="28">
        <v>2</v>
      </c>
      <c r="H2" s="28" t="s">
        <v>64</v>
      </c>
      <c r="I2" s="28">
        <v>1</v>
      </c>
      <c r="J2" s="16" t="s">
        <v>79</v>
      </c>
      <c r="K2" s="16" t="s">
        <v>68</v>
      </c>
      <c r="L2" s="11" t="s">
        <v>66</v>
      </c>
      <c r="M2" s="12"/>
    </row>
    <row r="3" spans="1:13" ht="15" customHeight="1" x14ac:dyDescent="0.25">
      <c r="A3" s="28">
        <v>1</v>
      </c>
      <c r="B3" s="28">
        <v>2</v>
      </c>
      <c r="C3" s="17" t="s">
        <v>23</v>
      </c>
      <c r="D3" s="18">
        <v>45321</v>
      </c>
      <c r="E3" s="28" t="s">
        <v>63</v>
      </c>
      <c r="F3" s="28">
        <v>2</v>
      </c>
      <c r="G3" s="28">
        <v>4</v>
      </c>
      <c r="H3" s="28" t="s">
        <v>65</v>
      </c>
      <c r="I3" s="28">
        <v>1</v>
      </c>
      <c r="J3" s="16" t="s">
        <v>31</v>
      </c>
      <c r="K3" s="16" t="s">
        <v>68</v>
      </c>
      <c r="L3" s="11"/>
      <c r="M3" s="12"/>
    </row>
    <row r="4" spans="1:13" ht="15" customHeight="1" x14ac:dyDescent="0.25">
      <c r="A4" s="28">
        <v>2</v>
      </c>
      <c r="B4" s="28">
        <v>3</v>
      </c>
      <c r="C4" s="17" t="s">
        <v>22</v>
      </c>
      <c r="D4" s="18">
        <v>45327</v>
      </c>
      <c r="E4" s="28" t="s">
        <v>24</v>
      </c>
      <c r="F4" s="28">
        <v>2</v>
      </c>
      <c r="G4" s="28">
        <v>6</v>
      </c>
      <c r="H4" s="28" t="s">
        <v>64</v>
      </c>
      <c r="I4" s="28">
        <v>1</v>
      </c>
      <c r="J4" s="16" t="s">
        <v>81</v>
      </c>
      <c r="K4" s="16" t="s">
        <v>68</v>
      </c>
      <c r="L4" s="11"/>
      <c r="M4" s="12"/>
    </row>
    <row r="5" spans="1:13" ht="15" customHeight="1" x14ac:dyDescent="0.25">
      <c r="A5" s="28">
        <v>2</v>
      </c>
      <c r="B5" s="28">
        <v>4</v>
      </c>
      <c r="C5" s="17" t="s">
        <v>23</v>
      </c>
      <c r="D5" s="18">
        <v>45328</v>
      </c>
      <c r="E5" s="28" t="s">
        <v>63</v>
      </c>
      <c r="F5" s="28">
        <v>2</v>
      </c>
      <c r="G5" s="28">
        <v>8</v>
      </c>
      <c r="H5" s="28" t="s">
        <v>65</v>
      </c>
      <c r="I5" s="28">
        <v>1</v>
      </c>
      <c r="J5" s="16" t="s">
        <v>82</v>
      </c>
      <c r="K5" s="11" t="s">
        <v>15</v>
      </c>
      <c r="L5" s="11"/>
      <c r="M5" s="12"/>
    </row>
    <row r="6" spans="1:13" ht="14.25" x14ac:dyDescent="0.25">
      <c r="A6" s="28">
        <v>3</v>
      </c>
      <c r="B6" s="28">
        <v>5</v>
      </c>
      <c r="C6" s="17" t="s">
        <v>22</v>
      </c>
      <c r="D6" s="18">
        <v>45334</v>
      </c>
      <c r="E6" s="28" t="s">
        <v>24</v>
      </c>
      <c r="F6" s="28">
        <v>2</v>
      </c>
      <c r="G6" s="28">
        <v>10</v>
      </c>
      <c r="H6" s="28" t="s">
        <v>64</v>
      </c>
      <c r="I6" s="28">
        <v>1</v>
      </c>
      <c r="J6" s="16" t="s">
        <v>84</v>
      </c>
      <c r="K6" s="16" t="s">
        <v>68</v>
      </c>
      <c r="L6" s="11"/>
      <c r="M6" s="12"/>
    </row>
    <row r="7" spans="1:13" ht="15" customHeight="1" x14ac:dyDescent="0.25">
      <c r="A7" s="29" t="s">
        <v>68</v>
      </c>
      <c r="B7" s="29" t="s">
        <v>68</v>
      </c>
      <c r="C7" s="17" t="s">
        <v>23</v>
      </c>
      <c r="D7" s="18">
        <v>45335</v>
      </c>
      <c r="E7" s="29" t="s">
        <v>63</v>
      </c>
      <c r="F7" s="29">
        <v>0</v>
      </c>
      <c r="G7" s="29">
        <v>10</v>
      </c>
      <c r="H7" s="29" t="s">
        <v>65</v>
      </c>
      <c r="I7" s="29">
        <v>1</v>
      </c>
      <c r="J7" s="23"/>
      <c r="K7" s="23"/>
      <c r="L7" s="20" t="s">
        <v>71</v>
      </c>
      <c r="M7" s="12"/>
    </row>
    <row r="8" spans="1:13" ht="15" customHeight="1" x14ac:dyDescent="0.25">
      <c r="A8" s="28">
        <v>4</v>
      </c>
      <c r="B8" s="28">
        <v>6</v>
      </c>
      <c r="C8" s="17" t="s">
        <v>22</v>
      </c>
      <c r="D8" s="18">
        <v>45341</v>
      </c>
      <c r="E8" s="28" t="s">
        <v>24</v>
      </c>
      <c r="F8" s="28">
        <v>2</v>
      </c>
      <c r="G8" s="28">
        <v>12</v>
      </c>
      <c r="H8" s="28" t="s">
        <v>64</v>
      </c>
      <c r="I8" s="28">
        <v>1</v>
      </c>
      <c r="J8" s="16" t="s">
        <v>85</v>
      </c>
      <c r="K8" s="11" t="s">
        <v>72</v>
      </c>
      <c r="L8" s="11"/>
      <c r="M8" s="12"/>
    </row>
    <row r="9" spans="1:13" ht="15" customHeight="1" x14ac:dyDescent="0.25">
      <c r="A9" s="28">
        <v>4</v>
      </c>
      <c r="B9" s="28">
        <v>7</v>
      </c>
      <c r="C9" s="17" t="s">
        <v>23</v>
      </c>
      <c r="D9" s="18">
        <v>45342</v>
      </c>
      <c r="E9" s="28" t="s">
        <v>63</v>
      </c>
      <c r="F9" s="28">
        <v>2</v>
      </c>
      <c r="G9" s="28">
        <v>14</v>
      </c>
      <c r="H9" s="28" t="s">
        <v>65</v>
      </c>
      <c r="I9" s="28">
        <v>1</v>
      </c>
      <c r="J9" s="16" t="s">
        <v>83</v>
      </c>
      <c r="K9" s="11" t="s">
        <v>16</v>
      </c>
      <c r="L9" s="11"/>
      <c r="M9" s="12"/>
    </row>
    <row r="10" spans="1:13" ht="15" customHeight="1" x14ac:dyDescent="0.25">
      <c r="A10" s="28">
        <v>5</v>
      </c>
      <c r="B10" s="28">
        <v>8</v>
      </c>
      <c r="C10" s="17" t="s">
        <v>22</v>
      </c>
      <c r="D10" s="18">
        <v>45348</v>
      </c>
      <c r="E10" s="28" t="s">
        <v>24</v>
      </c>
      <c r="F10" s="28">
        <v>2</v>
      </c>
      <c r="G10" s="28">
        <v>16</v>
      </c>
      <c r="H10" s="28" t="s">
        <v>64</v>
      </c>
      <c r="I10" s="28">
        <v>1</v>
      </c>
      <c r="J10" s="16" t="s">
        <v>80</v>
      </c>
      <c r="K10" s="16" t="s">
        <v>68</v>
      </c>
      <c r="L10" s="11"/>
      <c r="M10" s="12"/>
    </row>
    <row r="11" spans="1:13" ht="15" customHeight="1" x14ac:dyDescent="0.25">
      <c r="A11" s="28">
        <v>5</v>
      </c>
      <c r="B11" s="28">
        <v>9</v>
      </c>
      <c r="C11" s="17" t="s">
        <v>23</v>
      </c>
      <c r="D11" s="18">
        <v>45349</v>
      </c>
      <c r="E11" s="28" t="s">
        <v>63</v>
      </c>
      <c r="F11" s="28">
        <v>2</v>
      </c>
      <c r="G11" s="28">
        <v>18</v>
      </c>
      <c r="H11" s="28" t="s">
        <v>65</v>
      </c>
      <c r="I11" s="28">
        <v>1</v>
      </c>
      <c r="J11" s="16" t="s">
        <v>68</v>
      </c>
      <c r="K11" s="11" t="s">
        <v>21</v>
      </c>
      <c r="L11" s="11"/>
      <c r="M11" s="12"/>
    </row>
    <row r="12" spans="1:13" ht="15" customHeight="1" x14ac:dyDescent="0.25">
      <c r="A12" s="29" t="s">
        <v>68</v>
      </c>
      <c r="B12" s="29" t="s">
        <v>68</v>
      </c>
      <c r="C12" s="20" t="s">
        <v>22</v>
      </c>
      <c r="D12" s="21">
        <v>45355</v>
      </c>
      <c r="E12" s="29" t="s">
        <v>24</v>
      </c>
      <c r="F12" s="29">
        <v>0</v>
      </c>
      <c r="G12" s="29">
        <v>18</v>
      </c>
      <c r="H12" s="29" t="s">
        <v>64</v>
      </c>
      <c r="I12" s="29">
        <v>2</v>
      </c>
      <c r="J12" s="23"/>
      <c r="K12" s="20"/>
      <c r="L12" s="20" t="s">
        <v>67</v>
      </c>
      <c r="M12" s="12"/>
    </row>
    <row r="13" spans="1:13" ht="15" customHeight="1" x14ac:dyDescent="0.25">
      <c r="A13" s="29" t="s">
        <v>68</v>
      </c>
      <c r="B13" s="29" t="s">
        <v>68</v>
      </c>
      <c r="C13" s="20" t="s">
        <v>23</v>
      </c>
      <c r="D13" s="21">
        <v>45356</v>
      </c>
      <c r="E13" s="29" t="s">
        <v>63</v>
      </c>
      <c r="F13" s="29">
        <v>0</v>
      </c>
      <c r="G13" s="29">
        <v>18</v>
      </c>
      <c r="H13" s="29" t="s">
        <v>65</v>
      </c>
      <c r="I13" s="29">
        <v>2</v>
      </c>
      <c r="J13" s="23"/>
      <c r="K13" s="20"/>
      <c r="L13" s="20" t="s">
        <v>67</v>
      </c>
      <c r="M13" s="12"/>
    </row>
    <row r="14" spans="1:13" ht="15" customHeight="1" x14ac:dyDescent="0.25">
      <c r="A14" s="28">
        <v>6</v>
      </c>
      <c r="B14" s="28">
        <v>11</v>
      </c>
      <c r="C14" s="17" t="s">
        <v>22</v>
      </c>
      <c r="D14" s="18">
        <v>45362</v>
      </c>
      <c r="E14" s="28" t="s">
        <v>24</v>
      </c>
      <c r="F14" s="28">
        <v>2</v>
      </c>
      <c r="G14" s="28">
        <v>20</v>
      </c>
      <c r="H14" s="28" t="s">
        <v>64</v>
      </c>
      <c r="I14" s="28">
        <v>2</v>
      </c>
      <c r="J14" s="16"/>
      <c r="K14" s="11"/>
      <c r="L14" s="11"/>
      <c r="M14" s="12"/>
    </row>
    <row r="15" spans="1:13" ht="15" customHeight="1" x14ac:dyDescent="0.25">
      <c r="A15" s="28">
        <v>6</v>
      </c>
      <c r="B15" s="28">
        <v>12</v>
      </c>
      <c r="C15" s="17" t="s">
        <v>23</v>
      </c>
      <c r="D15" s="18">
        <v>45363</v>
      </c>
      <c r="E15" s="28" t="s">
        <v>63</v>
      </c>
      <c r="F15" s="28">
        <v>2</v>
      </c>
      <c r="G15" s="28">
        <v>22</v>
      </c>
      <c r="H15" s="28" t="s">
        <v>65</v>
      </c>
      <c r="I15" s="28">
        <v>2</v>
      </c>
      <c r="J15" s="14"/>
      <c r="K15" s="11"/>
      <c r="L15" s="11"/>
      <c r="M15" s="12"/>
    </row>
    <row r="16" spans="1:13" ht="15" customHeight="1" x14ac:dyDescent="0.25">
      <c r="A16" s="28">
        <v>7</v>
      </c>
      <c r="B16" s="28">
        <v>13</v>
      </c>
      <c r="C16" s="17" t="s">
        <v>22</v>
      </c>
      <c r="D16" s="18">
        <v>45369</v>
      </c>
      <c r="E16" s="28" t="s">
        <v>24</v>
      </c>
      <c r="F16" s="28">
        <v>2</v>
      </c>
      <c r="G16" s="28">
        <v>24</v>
      </c>
      <c r="H16" s="28" t="s">
        <v>64</v>
      </c>
      <c r="I16" s="28">
        <v>2</v>
      </c>
      <c r="J16" s="11"/>
      <c r="K16" s="11"/>
      <c r="L16" s="11"/>
      <c r="M16" s="12"/>
    </row>
    <row r="17" spans="1:13" ht="15" customHeight="1" x14ac:dyDescent="0.25">
      <c r="A17" s="28">
        <v>7</v>
      </c>
      <c r="B17" s="28">
        <v>14</v>
      </c>
      <c r="C17" s="17" t="s">
        <v>23</v>
      </c>
      <c r="D17" s="18">
        <v>45370</v>
      </c>
      <c r="E17" s="28" t="s">
        <v>63</v>
      </c>
      <c r="F17" s="28">
        <v>2</v>
      </c>
      <c r="G17" s="28">
        <v>26</v>
      </c>
      <c r="H17" s="28" t="s">
        <v>65</v>
      </c>
      <c r="I17" s="28">
        <v>2</v>
      </c>
      <c r="J17" s="14"/>
      <c r="K17" s="11" t="s">
        <v>17</v>
      </c>
      <c r="L17" s="11"/>
      <c r="M17" s="12"/>
    </row>
    <row r="18" spans="1:13" ht="15" customHeight="1" x14ac:dyDescent="0.25">
      <c r="A18" s="28">
        <v>8</v>
      </c>
      <c r="B18" s="28">
        <v>15</v>
      </c>
      <c r="C18" s="17" t="s">
        <v>22</v>
      </c>
      <c r="D18" s="18">
        <v>45376</v>
      </c>
      <c r="E18" s="28" t="s">
        <v>24</v>
      </c>
      <c r="F18" s="28">
        <v>2</v>
      </c>
      <c r="G18" s="28">
        <v>28</v>
      </c>
      <c r="H18" s="28" t="s">
        <v>64</v>
      </c>
      <c r="I18" s="28">
        <v>2</v>
      </c>
      <c r="J18" s="14"/>
      <c r="K18" s="11"/>
      <c r="L18" s="11"/>
      <c r="M18" s="12"/>
    </row>
    <row r="19" spans="1:13" ht="15" customHeight="1" x14ac:dyDescent="0.25">
      <c r="A19" s="29">
        <v>8</v>
      </c>
      <c r="B19" s="29">
        <v>16</v>
      </c>
      <c r="C19" s="20" t="s">
        <v>23</v>
      </c>
      <c r="D19" s="21">
        <v>45377</v>
      </c>
      <c r="E19" s="29" t="s">
        <v>63</v>
      </c>
      <c r="F19" s="29">
        <v>0</v>
      </c>
      <c r="G19" s="29">
        <f t="shared" ref="G19" si="0">G18+F19</f>
        <v>28</v>
      </c>
      <c r="H19" s="22" t="s">
        <v>65</v>
      </c>
      <c r="I19" s="29">
        <v>2</v>
      </c>
      <c r="J19" s="39"/>
      <c r="K19" s="38"/>
      <c r="L19" s="20" t="s">
        <v>88</v>
      </c>
      <c r="M19" s="12"/>
    </row>
    <row r="20" spans="1:13" ht="15" customHeight="1" x14ac:dyDescent="0.25">
      <c r="A20" s="29" t="s">
        <v>68</v>
      </c>
      <c r="B20" s="29" t="s">
        <v>68</v>
      </c>
      <c r="C20" s="20" t="s">
        <v>22</v>
      </c>
      <c r="D20" s="21">
        <v>45383</v>
      </c>
      <c r="E20" s="29" t="s">
        <v>24</v>
      </c>
      <c r="F20" s="29">
        <v>0</v>
      </c>
      <c r="G20" s="29">
        <v>30</v>
      </c>
      <c r="H20" s="29" t="s">
        <v>64</v>
      </c>
      <c r="I20" s="29">
        <v>2</v>
      </c>
      <c r="J20" s="20"/>
      <c r="K20" s="20"/>
      <c r="L20" s="20" t="s">
        <v>69</v>
      </c>
      <c r="M20" s="12"/>
    </row>
    <row r="21" spans="1:13" ht="15" customHeight="1" x14ac:dyDescent="0.25">
      <c r="A21" s="28">
        <v>9</v>
      </c>
      <c r="B21" s="28">
        <v>17</v>
      </c>
      <c r="C21" s="17" t="s">
        <v>23</v>
      </c>
      <c r="D21" s="18">
        <v>45384</v>
      </c>
      <c r="E21" s="28" t="s">
        <v>63</v>
      </c>
      <c r="F21" s="28">
        <v>2</v>
      </c>
      <c r="G21" s="28">
        <v>30</v>
      </c>
      <c r="H21" s="28" t="s">
        <v>65</v>
      </c>
      <c r="I21" s="28">
        <v>2</v>
      </c>
      <c r="J21" s="11"/>
      <c r="K21" s="11" t="s">
        <v>18</v>
      </c>
      <c r="L21" s="11"/>
      <c r="M21" s="12"/>
    </row>
    <row r="22" spans="1:13" ht="15" customHeight="1" x14ac:dyDescent="0.25">
      <c r="A22" s="28">
        <v>9</v>
      </c>
      <c r="B22" s="28">
        <v>18</v>
      </c>
      <c r="C22" s="17" t="s">
        <v>22</v>
      </c>
      <c r="D22" s="18">
        <v>45390</v>
      </c>
      <c r="E22" s="28" t="s">
        <v>24</v>
      </c>
      <c r="F22" s="28">
        <v>2</v>
      </c>
      <c r="G22" s="28">
        <v>32</v>
      </c>
      <c r="H22" s="28" t="s">
        <v>64</v>
      </c>
      <c r="I22" s="28">
        <v>2</v>
      </c>
      <c r="J22" s="16"/>
      <c r="K22" s="11"/>
      <c r="L22" s="11"/>
      <c r="M22" s="12"/>
    </row>
    <row r="23" spans="1:13" ht="15" customHeight="1" x14ac:dyDescent="0.25">
      <c r="A23" s="28">
        <v>10</v>
      </c>
      <c r="B23" s="28">
        <v>19</v>
      </c>
      <c r="C23" s="17" t="s">
        <v>23</v>
      </c>
      <c r="D23" s="18">
        <v>45391</v>
      </c>
      <c r="E23" s="28" t="s">
        <v>63</v>
      </c>
      <c r="F23" s="28">
        <v>2</v>
      </c>
      <c r="G23" s="28">
        <v>34</v>
      </c>
      <c r="H23" s="28" t="s">
        <v>65</v>
      </c>
      <c r="I23" s="28">
        <v>2</v>
      </c>
      <c r="J23" s="16"/>
      <c r="K23" s="11" t="s">
        <v>19</v>
      </c>
      <c r="L23" s="11"/>
      <c r="M23" s="12"/>
    </row>
    <row r="24" spans="1:13" ht="15" customHeight="1" x14ac:dyDescent="0.25">
      <c r="A24" s="28">
        <v>10</v>
      </c>
      <c r="B24" s="28">
        <v>20</v>
      </c>
      <c r="C24" s="17" t="s">
        <v>22</v>
      </c>
      <c r="D24" s="18">
        <v>45397</v>
      </c>
      <c r="E24" s="28" t="s">
        <v>24</v>
      </c>
      <c r="F24" s="28">
        <v>2</v>
      </c>
      <c r="G24" s="28">
        <v>36</v>
      </c>
      <c r="H24" s="28" t="s">
        <v>64</v>
      </c>
      <c r="I24" s="28">
        <v>2</v>
      </c>
      <c r="J24" s="16"/>
      <c r="K24" s="11"/>
      <c r="L24" s="11"/>
      <c r="M24" s="12"/>
    </row>
    <row r="25" spans="1:13" ht="15" customHeight="1" x14ac:dyDescent="0.25">
      <c r="A25" s="28">
        <v>11</v>
      </c>
      <c r="B25" s="28">
        <v>21</v>
      </c>
      <c r="C25" s="17" t="s">
        <v>23</v>
      </c>
      <c r="D25" s="18">
        <v>45398</v>
      </c>
      <c r="E25" s="28" t="s">
        <v>63</v>
      </c>
      <c r="F25" s="28">
        <v>2</v>
      </c>
      <c r="G25" s="28">
        <v>38</v>
      </c>
      <c r="H25" s="28" t="s">
        <v>65</v>
      </c>
      <c r="I25" s="28">
        <v>3</v>
      </c>
      <c r="J25" s="11"/>
      <c r="K25" s="11" t="s">
        <v>60</v>
      </c>
      <c r="L25" s="11"/>
      <c r="M25" s="12"/>
    </row>
    <row r="26" spans="1:13" ht="15" customHeight="1" x14ac:dyDescent="0.25">
      <c r="A26" s="28">
        <v>11</v>
      </c>
      <c r="B26" s="28">
        <v>22</v>
      </c>
      <c r="C26" s="17" t="s">
        <v>22</v>
      </c>
      <c r="D26" s="18">
        <v>45404</v>
      </c>
      <c r="E26" s="28" t="s">
        <v>24</v>
      </c>
      <c r="F26" s="28">
        <v>2</v>
      </c>
      <c r="G26" s="28">
        <v>40</v>
      </c>
      <c r="H26" s="28" t="s">
        <v>64</v>
      </c>
      <c r="I26" s="28">
        <v>3</v>
      </c>
      <c r="J26" s="16"/>
      <c r="K26" s="11"/>
      <c r="L26" s="11"/>
      <c r="M26" s="12"/>
    </row>
    <row r="27" spans="1:13" ht="15" customHeight="1" x14ac:dyDescent="0.25">
      <c r="A27" s="28">
        <v>12</v>
      </c>
      <c r="B27" s="28">
        <v>23</v>
      </c>
      <c r="C27" s="17" t="s">
        <v>23</v>
      </c>
      <c r="D27" s="18">
        <v>45405</v>
      </c>
      <c r="E27" s="28" t="s">
        <v>63</v>
      </c>
      <c r="F27" s="28">
        <v>2</v>
      </c>
      <c r="G27" s="28">
        <v>42</v>
      </c>
      <c r="H27" s="28" t="s">
        <v>65</v>
      </c>
      <c r="I27" s="28">
        <v>3</v>
      </c>
      <c r="J27" s="11"/>
      <c r="K27" s="11"/>
      <c r="L27" s="11"/>
      <c r="M27" s="12"/>
    </row>
    <row r="28" spans="1:13" ht="15" customHeight="1" x14ac:dyDescent="0.25">
      <c r="A28" s="28">
        <v>12</v>
      </c>
      <c r="B28" s="28">
        <v>24</v>
      </c>
      <c r="C28" s="17" t="s">
        <v>22</v>
      </c>
      <c r="D28" s="18">
        <v>45411</v>
      </c>
      <c r="E28" s="28" t="s">
        <v>24</v>
      </c>
      <c r="F28" s="28">
        <v>2</v>
      </c>
      <c r="G28" s="28">
        <v>44</v>
      </c>
      <c r="H28" s="28" t="s">
        <v>64</v>
      </c>
      <c r="I28" s="28">
        <v>3</v>
      </c>
      <c r="J28" s="16"/>
      <c r="K28" s="11"/>
      <c r="L28" s="11"/>
      <c r="M28" s="12"/>
    </row>
    <row r="29" spans="1:13" ht="15" customHeight="1" x14ac:dyDescent="0.25">
      <c r="A29" s="28">
        <v>13</v>
      </c>
      <c r="B29" s="28">
        <v>25</v>
      </c>
      <c r="C29" s="17" t="s">
        <v>23</v>
      </c>
      <c r="D29" s="18">
        <v>45412</v>
      </c>
      <c r="E29" s="28" t="s">
        <v>63</v>
      </c>
      <c r="F29" s="28">
        <v>2</v>
      </c>
      <c r="G29" s="28">
        <v>46</v>
      </c>
      <c r="H29" s="28" t="s">
        <v>65</v>
      </c>
      <c r="I29" s="28">
        <v>3</v>
      </c>
      <c r="J29" s="11"/>
      <c r="K29" s="11" t="s">
        <v>19</v>
      </c>
      <c r="L29" s="11"/>
      <c r="M29" s="12"/>
    </row>
    <row r="30" spans="1:13" ht="15" customHeight="1" x14ac:dyDescent="0.25">
      <c r="A30" s="28">
        <v>13</v>
      </c>
      <c r="B30" s="28">
        <v>26</v>
      </c>
      <c r="C30" s="17" t="s">
        <v>22</v>
      </c>
      <c r="D30" s="18">
        <v>45418</v>
      </c>
      <c r="E30" s="28" t="s">
        <v>24</v>
      </c>
      <c r="F30" s="28">
        <v>2</v>
      </c>
      <c r="G30" s="28">
        <v>48</v>
      </c>
      <c r="H30" s="28" t="s">
        <v>64</v>
      </c>
      <c r="I30" s="28">
        <v>3</v>
      </c>
      <c r="J30" s="16"/>
      <c r="K30" s="11"/>
      <c r="L30" s="11"/>
      <c r="M30" s="12"/>
    </row>
    <row r="31" spans="1:13" ht="15" customHeight="1" x14ac:dyDescent="0.25">
      <c r="A31" s="28">
        <v>14</v>
      </c>
      <c r="B31" s="28">
        <v>27</v>
      </c>
      <c r="C31" s="17" t="s">
        <v>23</v>
      </c>
      <c r="D31" s="18">
        <v>45419</v>
      </c>
      <c r="E31" s="28" t="s">
        <v>63</v>
      </c>
      <c r="F31" s="28">
        <v>2</v>
      </c>
      <c r="G31" s="28">
        <v>50</v>
      </c>
      <c r="H31" s="28" t="s">
        <v>65</v>
      </c>
      <c r="I31" s="28">
        <v>3</v>
      </c>
      <c r="J31" s="11"/>
      <c r="K31" s="11" t="s">
        <v>73</v>
      </c>
      <c r="L31" s="11"/>
      <c r="M31" s="12"/>
    </row>
    <row r="32" spans="1:13" ht="15" customHeight="1" x14ac:dyDescent="0.25">
      <c r="A32" s="28">
        <v>14</v>
      </c>
      <c r="B32" s="28">
        <v>28</v>
      </c>
      <c r="C32" s="17" t="s">
        <v>22</v>
      </c>
      <c r="D32" s="18">
        <v>45425</v>
      </c>
      <c r="E32" s="28" t="s">
        <v>24</v>
      </c>
      <c r="F32" s="28">
        <v>2</v>
      </c>
      <c r="G32" s="28">
        <v>52</v>
      </c>
      <c r="H32" s="28" t="s">
        <v>64</v>
      </c>
      <c r="I32" s="28">
        <v>3</v>
      </c>
      <c r="J32" s="14"/>
      <c r="K32" s="11"/>
      <c r="L32" s="11"/>
      <c r="M32" s="12"/>
    </row>
    <row r="33" spans="1:13" ht="15" customHeight="1" x14ac:dyDescent="0.25">
      <c r="A33" s="28">
        <v>15</v>
      </c>
      <c r="B33" s="28">
        <v>29</v>
      </c>
      <c r="C33" s="17" t="s">
        <v>23</v>
      </c>
      <c r="D33" s="18">
        <v>45426</v>
      </c>
      <c r="E33" s="28" t="s">
        <v>63</v>
      </c>
      <c r="F33" s="28">
        <v>2</v>
      </c>
      <c r="G33" s="28">
        <v>54</v>
      </c>
      <c r="H33" s="28" t="s">
        <v>65</v>
      </c>
      <c r="I33" s="28">
        <v>3</v>
      </c>
      <c r="J33" s="14"/>
      <c r="K33" s="11" t="s">
        <v>20</v>
      </c>
      <c r="L33" s="11"/>
      <c r="M33" s="12"/>
    </row>
    <row r="34" spans="1:13" ht="15" customHeight="1" x14ac:dyDescent="0.25">
      <c r="A34" s="29" t="s">
        <v>68</v>
      </c>
      <c r="B34" s="29" t="s">
        <v>68</v>
      </c>
      <c r="C34" s="20" t="s">
        <v>22</v>
      </c>
      <c r="D34" s="21">
        <v>45432</v>
      </c>
      <c r="E34" s="29" t="s">
        <v>24</v>
      </c>
      <c r="F34" s="29">
        <v>0</v>
      </c>
      <c r="G34" s="29">
        <v>56</v>
      </c>
      <c r="H34" s="29" t="s">
        <v>64</v>
      </c>
      <c r="I34" s="29">
        <v>3</v>
      </c>
      <c r="J34" s="24"/>
      <c r="K34" s="20"/>
      <c r="L34" s="20" t="s">
        <v>70</v>
      </c>
      <c r="M34" s="12"/>
    </row>
    <row r="35" spans="1:13" ht="15" customHeight="1" x14ac:dyDescent="0.25">
      <c r="A35" s="28">
        <v>15</v>
      </c>
      <c r="B35" s="28">
        <v>30</v>
      </c>
      <c r="C35" s="17" t="s">
        <v>23</v>
      </c>
      <c r="D35" s="18">
        <v>45433</v>
      </c>
      <c r="E35" s="35" t="s">
        <v>24</v>
      </c>
      <c r="F35" s="28">
        <v>2</v>
      </c>
      <c r="G35" s="28">
        <v>56</v>
      </c>
      <c r="H35" s="35" t="s">
        <v>64</v>
      </c>
      <c r="I35" s="28">
        <v>3</v>
      </c>
      <c r="J35" s="14"/>
      <c r="K35" s="11"/>
      <c r="L35" s="11" t="s">
        <v>78</v>
      </c>
      <c r="M35" s="12"/>
    </row>
    <row r="36" spans="1:13" s="15" customFormat="1" ht="15" customHeight="1" x14ac:dyDescent="0.25">
      <c r="A36" s="28">
        <v>16</v>
      </c>
      <c r="B36" s="28">
        <v>31</v>
      </c>
      <c r="C36" s="17" t="s">
        <v>22</v>
      </c>
      <c r="D36" s="18">
        <v>45439</v>
      </c>
      <c r="E36" s="28" t="s">
        <v>24</v>
      </c>
      <c r="F36" s="28">
        <v>2</v>
      </c>
      <c r="G36" s="28">
        <v>58</v>
      </c>
      <c r="H36" s="28" t="s">
        <v>64</v>
      </c>
      <c r="I36" s="28">
        <v>3</v>
      </c>
      <c r="J36" s="14"/>
      <c r="K36" s="11" t="s">
        <v>61</v>
      </c>
      <c r="L36" s="11"/>
      <c r="M36" s="12"/>
    </row>
    <row r="37" spans="1:13" s="15" customFormat="1" ht="15" customHeight="1" x14ac:dyDescent="0.25">
      <c r="A37" s="8">
        <v>16</v>
      </c>
      <c r="B37" s="8">
        <v>32</v>
      </c>
      <c r="C37" s="43" t="s">
        <v>23</v>
      </c>
      <c r="D37" s="44">
        <v>45440</v>
      </c>
      <c r="E37" s="28" t="s">
        <v>63</v>
      </c>
      <c r="F37" s="8">
        <v>2</v>
      </c>
      <c r="G37" s="8">
        <v>60</v>
      </c>
      <c r="H37" s="8" t="s">
        <v>65</v>
      </c>
      <c r="I37" s="8">
        <v>3</v>
      </c>
      <c r="J37" s="3"/>
      <c r="K37" s="3"/>
      <c r="L37" s="3" t="s">
        <v>92</v>
      </c>
    </row>
    <row r="38" spans="1:13" ht="15" customHeight="1" x14ac:dyDescent="0.25">
      <c r="A38" s="30">
        <v>16</v>
      </c>
      <c r="B38" s="30">
        <v>32</v>
      </c>
      <c r="C38" s="17" t="s">
        <v>23</v>
      </c>
      <c r="D38" s="18">
        <v>45447</v>
      </c>
      <c r="E38" s="30" t="s">
        <v>63</v>
      </c>
      <c r="F38" s="30">
        <v>0</v>
      </c>
      <c r="G38" s="30"/>
      <c r="H38" s="30" t="s">
        <v>65</v>
      </c>
      <c r="I38" s="30">
        <v>3</v>
      </c>
      <c r="J38" s="19"/>
      <c r="K38" s="19"/>
      <c r="L38" s="11" t="s">
        <v>92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9"/>
  <sheetViews>
    <sheetView zoomScale="130" zoomScaleNormal="13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11" sqref="G11"/>
    </sheetView>
  </sheetViews>
  <sheetFormatPr baseColWidth="10" defaultColWidth="11.42578125" defaultRowHeight="15" customHeight="1" x14ac:dyDescent="0.25"/>
  <cols>
    <col min="1" max="1" width="9.7109375" style="9" bestFit="1" customWidth="1"/>
    <col min="2" max="2" width="8.140625" style="9" bestFit="1" customWidth="1"/>
    <col min="3" max="3" width="6.28515625" style="1" bestFit="1" customWidth="1"/>
    <col min="4" max="4" width="10.140625" style="10" bestFit="1" customWidth="1"/>
    <col min="5" max="6" width="7.42578125" style="9" bestFit="1" customWidth="1"/>
    <col min="7" max="7" width="6.5703125" style="9" bestFit="1" customWidth="1"/>
    <col min="8" max="8" width="9.5703125" style="34" bestFit="1" customWidth="1"/>
    <col min="9" max="9" width="7.28515625" style="9" bestFit="1" customWidth="1"/>
    <col min="10" max="10" width="16.5703125" style="6" customWidth="1"/>
    <col min="11" max="11" width="16.5703125" style="1" customWidth="1"/>
    <col min="12" max="12" width="60" style="1" customWidth="1"/>
    <col min="13" max="13" width="13.140625" style="1" bestFit="1" customWidth="1"/>
    <col min="14" max="17" width="11.42578125" style="1"/>
    <col min="18" max="18" width="14.140625" style="1" bestFit="1" customWidth="1"/>
    <col min="19" max="16384" width="11.42578125" style="1"/>
  </cols>
  <sheetData>
    <row r="1" spans="1:13" ht="15" customHeight="1" x14ac:dyDescent="0.25">
      <c r="A1" s="27" t="s">
        <v>1</v>
      </c>
      <c r="B1" s="27" t="s">
        <v>5</v>
      </c>
      <c r="C1" s="27" t="s">
        <v>6</v>
      </c>
      <c r="D1" s="27" t="s">
        <v>7</v>
      </c>
      <c r="E1" s="27" t="s">
        <v>8</v>
      </c>
      <c r="F1" s="27" t="s">
        <v>2</v>
      </c>
      <c r="G1" s="27" t="s">
        <v>9</v>
      </c>
      <c r="H1" s="33" t="s">
        <v>10</v>
      </c>
      <c r="I1" s="27" t="s">
        <v>0</v>
      </c>
      <c r="J1" s="32" t="s">
        <v>11</v>
      </c>
      <c r="K1" s="27" t="s">
        <v>12</v>
      </c>
      <c r="L1" s="27" t="s">
        <v>13</v>
      </c>
    </row>
    <row r="2" spans="1:13" ht="15" customHeight="1" x14ac:dyDescent="0.25">
      <c r="A2" s="28">
        <v>1</v>
      </c>
      <c r="B2" s="28">
        <v>1</v>
      </c>
      <c r="C2" s="17" t="s">
        <v>22</v>
      </c>
      <c r="D2" s="18">
        <v>45320</v>
      </c>
      <c r="E2" s="28" t="s">
        <v>75</v>
      </c>
      <c r="F2" s="28">
        <v>2</v>
      </c>
      <c r="G2" s="28">
        <v>2</v>
      </c>
      <c r="H2" s="13" t="s">
        <v>64</v>
      </c>
      <c r="I2" s="28">
        <v>1</v>
      </c>
      <c r="J2" s="16"/>
      <c r="K2" s="11"/>
      <c r="L2" s="11" t="s">
        <v>66</v>
      </c>
      <c r="M2" s="12"/>
    </row>
    <row r="3" spans="1:13" ht="15" customHeight="1" x14ac:dyDescent="0.25">
      <c r="A3" s="28">
        <v>1</v>
      </c>
      <c r="B3" s="28">
        <v>2</v>
      </c>
      <c r="C3" s="17" t="s">
        <v>23</v>
      </c>
      <c r="D3" s="18">
        <v>45321</v>
      </c>
      <c r="E3" s="28" t="s">
        <v>74</v>
      </c>
      <c r="F3" s="28">
        <v>2</v>
      </c>
      <c r="G3" s="28">
        <f>G2+F3</f>
        <v>4</v>
      </c>
      <c r="H3" s="13" t="s">
        <v>65</v>
      </c>
      <c r="I3" s="28">
        <v>1</v>
      </c>
      <c r="J3" s="16"/>
      <c r="K3" s="11"/>
      <c r="L3" s="11"/>
      <c r="M3" s="12"/>
    </row>
    <row r="4" spans="1:13" ht="15" customHeight="1" x14ac:dyDescent="0.25">
      <c r="A4" s="28">
        <v>2</v>
      </c>
      <c r="B4" s="28">
        <v>3</v>
      </c>
      <c r="C4" s="17" t="s">
        <v>22</v>
      </c>
      <c r="D4" s="18">
        <v>45327</v>
      </c>
      <c r="E4" s="28" t="s">
        <v>75</v>
      </c>
      <c r="F4" s="28">
        <v>2</v>
      </c>
      <c r="G4" s="28">
        <f t="shared" ref="G4:G37" si="0">G3+F4</f>
        <v>6</v>
      </c>
      <c r="H4" s="13" t="s">
        <v>64</v>
      </c>
      <c r="I4" s="28">
        <v>1</v>
      </c>
      <c r="J4" s="16"/>
      <c r="K4" s="11"/>
      <c r="L4" s="11"/>
      <c r="M4" s="12"/>
    </row>
    <row r="5" spans="1:13" ht="15" customHeight="1" x14ac:dyDescent="0.25">
      <c r="A5" s="28">
        <v>2</v>
      </c>
      <c r="B5" s="28">
        <v>4</v>
      </c>
      <c r="C5" s="17" t="s">
        <v>23</v>
      </c>
      <c r="D5" s="18">
        <v>45328</v>
      </c>
      <c r="E5" s="28" t="s">
        <v>74</v>
      </c>
      <c r="F5" s="28">
        <v>2</v>
      </c>
      <c r="G5" s="28">
        <f t="shared" si="0"/>
        <v>8</v>
      </c>
      <c r="H5" s="13" t="s">
        <v>65</v>
      </c>
      <c r="I5" s="28">
        <v>1</v>
      </c>
      <c r="J5" s="16"/>
      <c r="K5" s="11" t="s">
        <v>15</v>
      </c>
      <c r="L5" s="11"/>
      <c r="M5" s="12"/>
    </row>
    <row r="6" spans="1:13" ht="15" customHeight="1" x14ac:dyDescent="0.25">
      <c r="A6" s="28">
        <v>3</v>
      </c>
      <c r="B6" s="28">
        <v>5</v>
      </c>
      <c r="C6" s="17" t="s">
        <v>22</v>
      </c>
      <c r="D6" s="18">
        <v>45334</v>
      </c>
      <c r="E6" s="28" t="s">
        <v>75</v>
      </c>
      <c r="F6" s="28">
        <v>2</v>
      </c>
      <c r="G6" s="28">
        <f t="shared" si="0"/>
        <v>10</v>
      </c>
      <c r="H6" s="13" t="s">
        <v>64</v>
      </c>
      <c r="I6" s="28">
        <v>1</v>
      </c>
      <c r="J6" s="11"/>
      <c r="K6" s="11"/>
      <c r="L6" s="11"/>
      <c r="M6" s="12"/>
    </row>
    <row r="7" spans="1:13" ht="15" customHeight="1" x14ac:dyDescent="0.25">
      <c r="A7" s="28">
        <v>3</v>
      </c>
      <c r="B7" s="28">
        <v>5</v>
      </c>
      <c r="C7" s="17" t="s">
        <v>23</v>
      </c>
      <c r="D7" s="18">
        <v>45335</v>
      </c>
      <c r="E7" s="31" t="s">
        <v>76</v>
      </c>
      <c r="F7" s="28">
        <v>1</v>
      </c>
      <c r="G7" s="28">
        <f t="shared" si="0"/>
        <v>11</v>
      </c>
      <c r="H7" s="13" t="s">
        <v>65</v>
      </c>
      <c r="I7" s="28">
        <v>1</v>
      </c>
      <c r="J7" s="16"/>
      <c r="K7" s="16"/>
      <c r="L7" s="11" t="s">
        <v>77</v>
      </c>
      <c r="M7" s="12"/>
    </row>
    <row r="8" spans="1:13" ht="15" customHeight="1" x14ac:dyDescent="0.25">
      <c r="A8" s="28">
        <v>4</v>
      </c>
      <c r="B8" s="28">
        <v>6</v>
      </c>
      <c r="C8" s="17" t="s">
        <v>22</v>
      </c>
      <c r="D8" s="18">
        <v>45341</v>
      </c>
      <c r="E8" s="28" t="s">
        <v>75</v>
      </c>
      <c r="F8" s="28">
        <v>2</v>
      </c>
      <c r="G8" s="28">
        <f t="shared" si="0"/>
        <v>13</v>
      </c>
      <c r="H8" s="13" t="s">
        <v>64</v>
      </c>
      <c r="I8" s="28">
        <v>1</v>
      </c>
      <c r="J8" s="16"/>
      <c r="K8" s="11" t="s">
        <v>72</v>
      </c>
      <c r="L8" s="11"/>
      <c r="M8" s="12"/>
    </row>
    <row r="9" spans="1:13" ht="15" customHeight="1" x14ac:dyDescent="0.25">
      <c r="A9" s="28">
        <v>4</v>
      </c>
      <c r="B9" s="28">
        <v>7</v>
      </c>
      <c r="C9" s="17" t="s">
        <v>23</v>
      </c>
      <c r="D9" s="18">
        <v>45342</v>
      </c>
      <c r="E9" s="28" t="s">
        <v>74</v>
      </c>
      <c r="F9" s="28">
        <v>2</v>
      </c>
      <c r="G9" s="28">
        <f t="shared" si="0"/>
        <v>15</v>
      </c>
      <c r="H9" s="13" t="s">
        <v>65</v>
      </c>
      <c r="I9" s="28">
        <v>1</v>
      </c>
      <c r="J9" s="16"/>
      <c r="K9" s="11" t="s">
        <v>16</v>
      </c>
      <c r="L9" s="11"/>
      <c r="M9" s="12"/>
    </row>
    <row r="10" spans="1:13" ht="15" customHeight="1" x14ac:dyDescent="0.25">
      <c r="A10" s="28">
        <v>5</v>
      </c>
      <c r="B10" s="28">
        <v>8</v>
      </c>
      <c r="C10" s="17" t="s">
        <v>22</v>
      </c>
      <c r="D10" s="18">
        <v>45348</v>
      </c>
      <c r="E10" s="28" t="s">
        <v>75</v>
      </c>
      <c r="F10" s="28">
        <v>2</v>
      </c>
      <c r="G10" s="28">
        <f t="shared" si="0"/>
        <v>17</v>
      </c>
      <c r="H10" s="13" t="s">
        <v>64</v>
      </c>
      <c r="I10" s="28">
        <v>1</v>
      </c>
      <c r="J10" s="16"/>
      <c r="K10" s="11"/>
      <c r="L10" s="11"/>
      <c r="M10" s="12"/>
    </row>
    <row r="11" spans="1:13" ht="15" customHeight="1" x14ac:dyDescent="0.25">
      <c r="A11" s="28">
        <v>5</v>
      </c>
      <c r="B11" s="28">
        <v>9</v>
      </c>
      <c r="C11" s="17" t="s">
        <v>23</v>
      </c>
      <c r="D11" s="18">
        <v>45349</v>
      </c>
      <c r="E11" s="28" t="s">
        <v>74</v>
      </c>
      <c r="F11" s="28">
        <v>2</v>
      </c>
      <c r="G11" s="28">
        <f t="shared" si="0"/>
        <v>19</v>
      </c>
      <c r="H11" s="13" t="s">
        <v>65</v>
      </c>
      <c r="I11" s="28">
        <v>1</v>
      </c>
      <c r="J11" s="16"/>
      <c r="K11" s="11" t="s">
        <v>21</v>
      </c>
      <c r="L11" s="11"/>
      <c r="M11" s="12"/>
    </row>
    <row r="12" spans="1:13" ht="15" customHeight="1" x14ac:dyDescent="0.25">
      <c r="A12" s="29" t="s">
        <v>68</v>
      </c>
      <c r="B12" s="29" t="s">
        <v>68</v>
      </c>
      <c r="C12" s="20" t="s">
        <v>22</v>
      </c>
      <c r="D12" s="21">
        <v>45355</v>
      </c>
      <c r="E12" s="29" t="s">
        <v>75</v>
      </c>
      <c r="F12" s="29">
        <v>0</v>
      </c>
      <c r="G12" s="29">
        <f t="shared" si="0"/>
        <v>19</v>
      </c>
      <c r="H12" s="22" t="s">
        <v>64</v>
      </c>
      <c r="I12" s="29">
        <v>2</v>
      </c>
      <c r="J12" s="23"/>
      <c r="K12" s="20"/>
      <c r="L12" s="20" t="s">
        <v>67</v>
      </c>
      <c r="M12" s="12"/>
    </row>
    <row r="13" spans="1:13" ht="15" customHeight="1" x14ac:dyDescent="0.25">
      <c r="A13" s="29" t="s">
        <v>68</v>
      </c>
      <c r="B13" s="29" t="s">
        <v>68</v>
      </c>
      <c r="C13" s="20" t="s">
        <v>23</v>
      </c>
      <c r="D13" s="21">
        <v>45356</v>
      </c>
      <c r="E13" s="29" t="s">
        <v>74</v>
      </c>
      <c r="F13" s="29">
        <v>0</v>
      </c>
      <c r="G13" s="29">
        <f t="shared" si="0"/>
        <v>19</v>
      </c>
      <c r="H13" s="22" t="s">
        <v>65</v>
      </c>
      <c r="I13" s="29">
        <v>2</v>
      </c>
      <c r="J13" s="23"/>
      <c r="K13" s="20"/>
      <c r="L13" s="20" t="s">
        <v>67</v>
      </c>
      <c r="M13" s="12"/>
    </row>
    <row r="14" spans="1:13" ht="15" customHeight="1" x14ac:dyDescent="0.25">
      <c r="A14" s="28">
        <v>6</v>
      </c>
      <c r="B14" s="28">
        <v>11</v>
      </c>
      <c r="C14" s="17" t="s">
        <v>22</v>
      </c>
      <c r="D14" s="18">
        <v>45362</v>
      </c>
      <c r="E14" s="28" t="s">
        <v>75</v>
      </c>
      <c r="F14" s="28">
        <v>2</v>
      </c>
      <c r="G14" s="28">
        <f t="shared" si="0"/>
        <v>21</v>
      </c>
      <c r="H14" s="13" t="s">
        <v>64</v>
      </c>
      <c r="I14" s="28">
        <v>2</v>
      </c>
      <c r="J14" s="16"/>
      <c r="K14" s="11"/>
      <c r="L14" s="11"/>
      <c r="M14" s="12"/>
    </row>
    <row r="15" spans="1:13" ht="15" customHeight="1" x14ac:dyDescent="0.25">
      <c r="A15" s="28">
        <v>6</v>
      </c>
      <c r="B15" s="28">
        <v>12</v>
      </c>
      <c r="C15" s="17" t="s">
        <v>23</v>
      </c>
      <c r="D15" s="18">
        <v>45363</v>
      </c>
      <c r="E15" s="28" t="s">
        <v>74</v>
      </c>
      <c r="F15" s="28">
        <v>2</v>
      </c>
      <c r="G15" s="28">
        <f t="shared" si="0"/>
        <v>23</v>
      </c>
      <c r="H15" s="13" t="s">
        <v>65</v>
      </c>
      <c r="I15" s="28">
        <v>2</v>
      </c>
      <c r="J15" s="14"/>
      <c r="K15" s="11"/>
      <c r="L15" s="11"/>
      <c r="M15" s="12"/>
    </row>
    <row r="16" spans="1:13" ht="15" customHeight="1" x14ac:dyDescent="0.25">
      <c r="A16" s="28">
        <v>7</v>
      </c>
      <c r="B16" s="28">
        <v>13</v>
      </c>
      <c r="C16" s="17" t="s">
        <v>22</v>
      </c>
      <c r="D16" s="18">
        <v>45369</v>
      </c>
      <c r="E16" s="28" t="s">
        <v>75</v>
      </c>
      <c r="F16" s="28">
        <v>2</v>
      </c>
      <c r="G16" s="28">
        <f t="shared" si="0"/>
        <v>25</v>
      </c>
      <c r="H16" s="13" t="s">
        <v>64</v>
      </c>
      <c r="I16" s="28">
        <v>2</v>
      </c>
      <c r="J16" s="11"/>
      <c r="K16" s="11"/>
      <c r="L16" s="11"/>
      <c r="M16" s="12"/>
    </row>
    <row r="17" spans="1:13" ht="15" customHeight="1" x14ac:dyDescent="0.25">
      <c r="A17" s="28">
        <v>7</v>
      </c>
      <c r="B17" s="28">
        <v>14</v>
      </c>
      <c r="C17" s="17" t="s">
        <v>23</v>
      </c>
      <c r="D17" s="18">
        <v>45370</v>
      </c>
      <c r="E17" s="28" t="s">
        <v>74</v>
      </c>
      <c r="F17" s="28">
        <v>2</v>
      </c>
      <c r="G17" s="28">
        <f t="shared" si="0"/>
        <v>27</v>
      </c>
      <c r="H17" s="13" t="s">
        <v>65</v>
      </c>
      <c r="I17" s="28">
        <v>2</v>
      </c>
      <c r="J17" s="14"/>
      <c r="K17" s="11" t="s">
        <v>17</v>
      </c>
      <c r="L17" s="11"/>
      <c r="M17" s="12"/>
    </row>
    <row r="18" spans="1:13" ht="15" customHeight="1" x14ac:dyDescent="0.25">
      <c r="A18" s="28">
        <v>8</v>
      </c>
      <c r="B18" s="28">
        <v>15</v>
      </c>
      <c r="C18" s="17" t="s">
        <v>22</v>
      </c>
      <c r="D18" s="18">
        <v>45376</v>
      </c>
      <c r="E18" s="28" t="s">
        <v>75</v>
      </c>
      <c r="F18" s="28">
        <v>2</v>
      </c>
      <c r="G18" s="28">
        <f t="shared" si="0"/>
        <v>29</v>
      </c>
      <c r="H18" s="13" t="s">
        <v>64</v>
      </c>
      <c r="I18" s="28">
        <v>2</v>
      </c>
      <c r="J18" s="14"/>
      <c r="K18" s="11"/>
      <c r="L18" s="11"/>
      <c r="M18" s="12"/>
    </row>
    <row r="19" spans="1:13" ht="15" customHeight="1" x14ac:dyDescent="0.25">
      <c r="A19" s="29">
        <v>8</v>
      </c>
      <c r="B19" s="29">
        <v>16</v>
      </c>
      <c r="C19" s="20" t="s">
        <v>23</v>
      </c>
      <c r="D19" s="21">
        <v>45377</v>
      </c>
      <c r="E19" s="29" t="s">
        <v>74</v>
      </c>
      <c r="F19" s="29">
        <v>0</v>
      </c>
      <c r="G19" s="29">
        <f t="shared" si="0"/>
        <v>29</v>
      </c>
      <c r="H19" s="22" t="s">
        <v>65</v>
      </c>
      <c r="I19" s="29">
        <v>2</v>
      </c>
      <c r="J19" s="39"/>
      <c r="K19" s="38"/>
      <c r="L19" s="20" t="s">
        <v>88</v>
      </c>
      <c r="M19" s="12"/>
    </row>
    <row r="20" spans="1:13" ht="15" customHeight="1" x14ac:dyDescent="0.25">
      <c r="A20" s="29" t="s">
        <v>68</v>
      </c>
      <c r="B20" s="29" t="s">
        <v>68</v>
      </c>
      <c r="C20" s="20" t="s">
        <v>22</v>
      </c>
      <c r="D20" s="21">
        <v>45383</v>
      </c>
      <c r="E20" s="29" t="s">
        <v>75</v>
      </c>
      <c r="F20" s="29">
        <v>0</v>
      </c>
      <c r="G20" s="29">
        <f t="shared" si="0"/>
        <v>29</v>
      </c>
      <c r="H20" s="22" t="s">
        <v>64</v>
      </c>
      <c r="I20" s="29">
        <v>2</v>
      </c>
      <c r="J20" s="20"/>
      <c r="K20" s="20"/>
      <c r="L20" s="20" t="s">
        <v>69</v>
      </c>
      <c r="M20" s="12"/>
    </row>
    <row r="21" spans="1:13" ht="15" customHeight="1" x14ac:dyDescent="0.25">
      <c r="A21" s="28">
        <v>9</v>
      </c>
      <c r="B21" s="28">
        <v>17</v>
      </c>
      <c r="C21" s="17" t="s">
        <v>23</v>
      </c>
      <c r="D21" s="18">
        <v>45384</v>
      </c>
      <c r="E21" s="28" t="s">
        <v>74</v>
      </c>
      <c r="F21" s="28">
        <v>2</v>
      </c>
      <c r="G21" s="28">
        <f t="shared" si="0"/>
        <v>31</v>
      </c>
      <c r="H21" s="13" t="s">
        <v>65</v>
      </c>
      <c r="I21" s="28">
        <v>2</v>
      </c>
      <c r="J21" s="11"/>
      <c r="K21" s="11" t="s">
        <v>18</v>
      </c>
      <c r="L21" s="11"/>
      <c r="M21" s="12"/>
    </row>
    <row r="22" spans="1:13" ht="15" customHeight="1" x14ac:dyDescent="0.25">
      <c r="A22" s="28">
        <v>9</v>
      </c>
      <c r="B22" s="28">
        <v>18</v>
      </c>
      <c r="C22" s="17" t="s">
        <v>22</v>
      </c>
      <c r="D22" s="18">
        <v>45390</v>
      </c>
      <c r="E22" s="28" t="s">
        <v>75</v>
      </c>
      <c r="F22" s="28">
        <v>2</v>
      </c>
      <c r="G22" s="28">
        <f t="shared" si="0"/>
        <v>33</v>
      </c>
      <c r="H22" s="13" t="s">
        <v>64</v>
      </c>
      <c r="I22" s="28">
        <v>2</v>
      </c>
      <c r="J22" s="16"/>
      <c r="K22" s="11"/>
      <c r="L22" s="11"/>
      <c r="M22" s="12"/>
    </row>
    <row r="23" spans="1:13" ht="15" customHeight="1" x14ac:dyDescent="0.25">
      <c r="A23" s="28">
        <v>10</v>
      </c>
      <c r="B23" s="28">
        <v>19</v>
      </c>
      <c r="C23" s="17" t="s">
        <v>23</v>
      </c>
      <c r="D23" s="18">
        <v>45391</v>
      </c>
      <c r="E23" s="28" t="s">
        <v>74</v>
      </c>
      <c r="F23" s="28">
        <v>2</v>
      </c>
      <c r="G23" s="28">
        <f t="shared" si="0"/>
        <v>35</v>
      </c>
      <c r="H23" s="13" t="s">
        <v>65</v>
      </c>
      <c r="I23" s="28">
        <v>2</v>
      </c>
      <c r="J23" s="16"/>
      <c r="K23" s="11" t="s">
        <v>19</v>
      </c>
      <c r="L23" s="11"/>
      <c r="M23" s="12"/>
    </row>
    <row r="24" spans="1:13" ht="15" customHeight="1" x14ac:dyDescent="0.25">
      <c r="A24" s="28">
        <v>10</v>
      </c>
      <c r="B24" s="28">
        <v>20</v>
      </c>
      <c r="C24" s="17" t="s">
        <v>22</v>
      </c>
      <c r="D24" s="18">
        <v>45397</v>
      </c>
      <c r="E24" s="28" t="s">
        <v>75</v>
      </c>
      <c r="F24" s="28">
        <v>2</v>
      </c>
      <c r="G24" s="28">
        <f t="shared" si="0"/>
        <v>37</v>
      </c>
      <c r="H24" s="13" t="s">
        <v>64</v>
      </c>
      <c r="I24" s="28">
        <v>2</v>
      </c>
      <c r="J24" s="16" t="s">
        <v>80</v>
      </c>
      <c r="K24" s="11"/>
      <c r="L24" s="11"/>
      <c r="M24" s="12"/>
    </row>
    <row r="25" spans="1:13" ht="15" customHeight="1" x14ac:dyDescent="0.25">
      <c r="A25" s="28">
        <v>11</v>
      </c>
      <c r="B25" s="28">
        <v>21</v>
      </c>
      <c r="C25" s="17" t="s">
        <v>23</v>
      </c>
      <c r="D25" s="18">
        <v>45398</v>
      </c>
      <c r="E25" s="28" t="s">
        <v>74</v>
      </c>
      <c r="F25" s="28">
        <v>2</v>
      </c>
      <c r="G25" s="28">
        <f t="shared" si="0"/>
        <v>39</v>
      </c>
      <c r="H25" s="13" t="s">
        <v>65</v>
      </c>
      <c r="I25" s="28">
        <v>3</v>
      </c>
      <c r="J25" s="11" t="s">
        <v>68</v>
      </c>
      <c r="K25" s="11" t="s">
        <v>60</v>
      </c>
      <c r="L25" s="11"/>
      <c r="M25" s="12"/>
    </row>
    <row r="26" spans="1:13" ht="15" customHeight="1" x14ac:dyDescent="0.25">
      <c r="A26" s="28">
        <v>11</v>
      </c>
      <c r="B26" s="28">
        <v>22</v>
      </c>
      <c r="C26" s="17" t="s">
        <v>22</v>
      </c>
      <c r="D26" s="18">
        <v>45404</v>
      </c>
      <c r="E26" s="28" t="s">
        <v>75</v>
      </c>
      <c r="F26" s="28">
        <v>2</v>
      </c>
      <c r="G26" s="28">
        <f t="shared" si="0"/>
        <v>41</v>
      </c>
      <c r="H26" s="13" t="s">
        <v>64</v>
      </c>
      <c r="I26" s="28">
        <v>3</v>
      </c>
      <c r="J26" s="16"/>
      <c r="K26" s="11"/>
      <c r="L26" s="11"/>
      <c r="M26" s="12"/>
    </row>
    <row r="27" spans="1:13" ht="15" customHeight="1" x14ac:dyDescent="0.25">
      <c r="A27" s="28">
        <v>12</v>
      </c>
      <c r="B27" s="28">
        <v>23</v>
      </c>
      <c r="C27" s="17" t="s">
        <v>23</v>
      </c>
      <c r="D27" s="18">
        <v>45405</v>
      </c>
      <c r="E27" s="28" t="s">
        <v>74</v>
      </c>
      <c r="F27" s="28">
        <v>2</v>
      </c>
      <c r="G27" s="28">
        <f t="shared" si="0"/>
        <v>43</v>
      </c>
      <c r="H27" s="13" t="s">
        <v>65</v>
      </c>
      <c r="I27" s="28">
        <v>3</v>
      </c>
      <c r="J27" s="11"/>
      <c r="K27" s="11"/>
      <c r="L27" s="11"/>
      <c r="M27" s="12"/>
    </row>
    <row r="28" spans="1:13" ht="15" customHeight="1" x14ac:dyDescent="0.25">
      <c r="A28" s="28">
        <v>12</v>
      </c>
      <c r="B28" s="28">
        <v>24</v>
      </c>
      <c r="C28" s="17" t="s">
        <v>22</v>
      </c>
      <c r="D28" s="18">
        <v>45411</v>
      </c>
      <c r="E28" s="28" t="s">
        <v>75</v>
      </c>
      <c r="F28" s="28">
        <v>2</v>
      </c>
      <c r="G28" s="28">
        <f t="shared" si="0"/>
        <v>45</v>
      </c>
      <c r="H28" s="13" t="s">
        <v>64</v>
      </c>
      <c r="I28" s="28">
        <v>3</v>
      </c>
      <c r="J28" s="16"/>
      <c r="K28" s="11"/>
      <c r="L28" s="11"/>
      <c r="M28" s="12"/>
    </row>
    <row r="29" spans="1:13" ht="15" customHeight="1" x14ac:dyDescent="0.25">
      <c r="A29" s="28">
        <v>13</v>
      </c>
      <c r="B29" s="28">
        <v>25</v>
      </c>
      <c r="C29" s="17" t="s">
        <v>23</v>
      </c>
      <c r="D29" s="18">
        <v>45412</v>
      </c>
      <c r="E29" s="28" t="s">
        <v>74</v>
      </c>
      <c r="F29" s="28">
        <v>2</v>
      </c>
      <c r="G29" s="28">
        <f t="shared" si="0"/>
        <v>47</v>
      </c>
      <c r="H29" s="13" t="s">
        <v>65</v>
      </c>
      <c r="I29" s="28">
        <v>3</v>
      </c>
      <c r="J29" s="11"/>
      <c r="K29" s="11" t="s">
        <v>20</v>
      </c>
      <c r="L29" s="11"/>
      <c r="M29" s="12"/>
    </row>
    <row r="30" spans="1:13" ht="15" customHeight="1" x14ac:dyDescent="0.25">
      <c r="A30" s="28">
        <v>13</v>
      </c>
      <c r="B30" s="28">
        <v>26</v>
      </c>
      <c r="C30" s="17" t="s">
        <v>22</v>
      </c>
      <c r="D30" s="18">
        <v>45418</v>
      </c>
      <c r="E30" s="28" t="s">
        <v>75</v>
      </c>
      <c r="F30" s="28">
        <v>2</v>
      </c>
      <c r="G30" s="28">
        <f t="shared" si="0"/>
        <v>49</v>
      </c>
      <c r="H30" s="13" t="s">
        <v>64</v>
      </c>
      <c r="I30" s="28">
        <v>3</v>
      </c>
      <c r="J30" s="16"/>
      <c r="K30" s="11"/>
      <c r="L30" s="11"/>
      <c r="M30" s="12"/>
    </row>
    <row r="31" spans="1:13" ht="15" customHeight="1" x14ac:dyDescent="0.25">
      <c r="A31" s="28">
        <v>14</v>
      </c>
      <c r="B31" s="28">
        <v>27</v>
      </c>
      <c r="C31" s="17" t="s">
        <v>23</v>
      </c>
      <c r="D31" s="18">
        <v>45419</v>
      </c>
      <c r="E31" s="28" t="s">
        <v>74</v>
      </c>
      <c r="F31" s="28">
        <v>2</v>
      </c>
      <c r="G31" s="28">
        <f t="shared" si="0"/>
        <v>51</v>
      </c>
      <c r="H31" s="13" t="s">
        <v>65</v>
      </c>
      <c r="I31" s="28">
        <v>3</v>
      </c>
      <c r="J31" s="11"/>
      <c r="K31" s="11" t="s">
        <v>90</v>
      </c>
      <c r="L31" s="11"/>
      <c r="M31" s="12"/>
    </row>
    <row r="32" spans="1:13" ht="15" customHeight="1" x14ac:dyDescent="0.25">
      <c r="A32" s="28">
        <v>14</v>
      </c>
      <c r="B32" s="28">
        <v>28</v>
      </c>
      <c r="C32" s="17" t="s">
        <v>22</v>
      </c>
      <c r="D32" s="18">
        <v>45425</v>
      </c>
      <c r="E32" s="28" t="s">
        <v>75</v>
      </c>
      <c r="F32" s="28">
        <v>2</v>
      </c>
      <c r="G32" s="28">
        <f t="shared" si="0"/>
        <v>53</v>
      </c>
      <c r="H32" s="13" t="s">
        <v>64</v>
      </c>
      <c r="I32" s="28">
        <v>3</v>
      </c>
      <c r="J32" s="14"/>
      <c r="K32" s="11"/>
      <c r="L32" s="11"/>
      <c r="M32" s="12"/>
    </row>
    <row r="33" spans="1:13" ht="15" customHeight="1" x14ac:dyDescent="0.25">
      <c r="A33" s="28">
        <v>15</v>
      </c>
      <c r="B33" s="28">
        <v>29</v>
      </c>
      <c r="C33" s="17" t="s">
        <v>23</v>
      </c>
      <c r="D33" s="18">
        <v>45426</v>
      </c>
      <c r="E33" s="28" t="s">
        <v>74</v>
      </c>
      <c r="F33" s="28">
        <v>2</v>
      </c>
      <c r="G33" s="28">
        <f t="shared" si="0"/>
        <v>55</v>
      </c>
      <c r="H33" s="13" t="s">
        <v>65</v>
      </c>
      <c r="I33" s="28">
        <v>3</v>
      </c>
      <c r="J33" s="14"/>
      <c r="K33" s="11" t="s">
        <v>91</v>
      </c>
      <c r="L33" s="11"/>
      <c r="M33" s="12"/>
    </row>
    <row r="34" spans="1:13" ht="15" customHeight="1" x14ac:dyDescent="0.25">
      <c r="A34" s="29" t="s">
        <v>68</v>
      </c>
      <c r="B34" s="29" t="s">
        <v>68</v>
      </c>
      <c r="C34" s="20" t="s">
        <v>22</v>
      </c>
      <c r="D34" s="21">
        <v>45432</v>
      </c>
      <c r="E34" s="29" t="s">
        <v>75</v>
      </c>
      <c r="F34" s="29">
        <v>0</v>
      </c>
      <c r="G34" s="29">
        <f t="shared" si="0"/>
        <v>55</v>
      </c>
      <c r="H34" s="22" t="s">
        <v>64</v>
      </c>
      <c r="I34" s="29">
        <v>3</v>
      </c>
      <c r="J34" s="24"/>
      <c r="K34" s="20"/>
      <c r="L34" s="20" t="s">
        <v>70</v>
      </c>
      <c r="M34" s="12"/>
    </row>
    <row r="35" spans="1:13" ht="15" customHeight="1" x14ac:dyDescent="0.25">
      <c r="A35" s="28">
        <v>15</v>
      </c>
      <c r="B35" s="28">
        <v>30</v>
      </c>
      <c r="C35" s="17" t="s">
        <v>23</v>
      </c>
      <c r="D35" s="18">
        <v>45433</v>
      </c>
      <c r="E35" s="35" t="s">
        <v>75</v>
      </c>
      <c r="F35" s="28">
        <v>2</v>
      </c>
      <c r="G35" s="28">
        <f t="shared" si="0"/>
        <v>57</v>
      </c>
      <c r="H35" s="36" t="s">
        <v>64</v>
      </c>
      <c r="I35" s="28">
        <v>3</v>
      </c>
      <c r="J35" s="14"/>
      <c r="K35" s="11"/>
      <c r="L35" s="11" t="s">
        <v>78</v>
      </c>
      <c r="M35" s="12"/>
    </row>
    <row r="36" spans="1:13" s="15" customFormat="1" ht="15" customHeight="1" x14ac:dyDescent="0.25">
      <c r="A36" s="28">
        <v>16</v>
      </c>
      <c r="B36" s="28">
        <v>31</v>
      </c>
      <c r="C36" s="17" t="s">
        <v>22</v>
      </c>
      <c r="D36" s="18">
        <v>45439</v>
      </c>
      <c r="E36" s="28" t="s">
        <v>75</v>
      </c>
      <c r="F36" s="28">
        <v>1</v>
      </c>
      <c r="G36" s="28">
        <f t="shared" si="0"/>
        <v>58</v>
      </c>
      <c r="H36" s="13" t="s">
        <v>64</v>
      </c>
      <c r="I36" s="28">
        <v>3</v>
      </c>
      <c r="J36" s="16" t="s">
        <v>80</v>
      </c>
      <c r="K36" s="11"/>
      <c r="L36" s="11"/>
      <c r="M36" s="12"/>
    </row>
    <row r="37" spans="1:13" s="15" customFormat="1" ht="15" customHeight="1" x14ac:dyDescent="0.25">
      <c r="A37" s="28">
        <v>16</v>
      </c>
      <c r="B37" s="28">
        <v>32</v>
      </c>
      <c r="C37" s="17" t="s">
        <v>23</v>
      </c>
      <c r="D37" s="18">
        <v>45440</v>
      </c>
      <c r="E37" s="37" t="s">
        <v>74</v>
      </c>
      <c r="F37" s="28">
        <v>2</v>
      </c>
      <c r="G37" s="28">
        <f t="shared" si="0"/>
        <v>60</v>
      </c>
      <c r="H37" s="13" t="s">
        <v>65</v>
      </c>
      <c r="I37" s="28">
        <v>3</v>
      </c>
      <c r="J37" s="11"/>
      <c r="K37" s="11" t="s">
        <v>61</v>
      </c>
      <c r="L37" s="11"/>
    </row>
    <row r="38" spans="1:13" ht="15" customHeight="1" x14ac:dyDescent="0.25">
      <c r="A38" s="30">
        <v>16</v>
      </c>
      <c r="B38" s="30">
        <v>33</v>
      </c>
      <c r="C38" s="17" t="s">
        <v>23</v>
      </c>
      <c r="D38" s="18">
        <v>45447</v>
      </c>
      <c r="E38" s="29" t="s">
        <v>74</v>
      </c>
      <c r="F38" s="30">
        <v>2</v>
      </c>
      <c r="G38" s="30">
        <f t="shared" ref="G38" si="1">G37+F38</f>
        <v>62</v>
      </c>
      <c r="H38" s="42" t="s">
        <v>65</v>
      </c>
      <c r="I38" s="30">
        <v>3</v>
      </c>
      <c r="J38" s="19"/>
      <c r="K38" s="19"/>
      <c r="L38" s="11" t="s">
        <v>92</v>
      </c>
    </row>
    <row r="39" spans="1:13" ht="15" customHeight="1" x14ac:dyDescent="0.25">
      <c r="A39" s="30">
        <v>16</v>
      </c>
      <c r="B39" s="30">
        <v>32</v>
      </c>
      <c r="C39" s="17" t="s">
        <v>23</v>
      </c>
      <c r="D39" s="18">
        <v>45447</v>
      </c>
      <c r="E39" s="29" t="s">
        <v>74</v>
      </c>
      <c r="F39" s="30">
        <v>0</v>
      </c>
      <c r="G39" s="30">
        <v>62</v>
      </c>
      <c r="H39" s="30" t="s">
        <v>65</v>
      </c>
      <c r="I39" s="30">
        <v>3</v>
      </c>
      <c r="J39" s="19"/>
      <c r="K39" s="19"/>
      <c r="L39" s="11" t="s">
        <v>92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9"/>
  <sheetViews>
    <sheetView tabSelected="1" zoomScale="120" zoomScaleNormal="120" workbookViewId="0">
      <pane ySplit="1" topLeftCell="A2" activePane="bottomLeft" state="frozen"/>
      <selection pane="bottomLeft"/>
    </sheetView>
  </sheetViews>
  <sheetFormatPr baseColWidth="10" defaultColWidth="9.140625" defaultRowHeight="18" customHeight="1" x14ac:dyDescent="0.25"/>
  <cols>
    <col min="1" max="1" width="6.85546875" style="9" bestFit="1" customWidth="1"/>
    <col min="2" max="2" width="6.5703125" style="9" bestFit="1" customWidth="1"/>
    <col min="3" max="3" width="8.140625" style="9" bestFit="1" customWidth="1"/>
    <col min="4" max="4" width="67" style="6" bestFit="1" customWidth="1"/>
    <col min="5" max="5" width="6.85546875" style="1" bestFit="1" customWidth="1"/>
    <col min="6" max="6" width="9.140625" style="1"/>
    <col min="7" max="7" width="9" style="1" bestFit="1" customWidth="1"/>
    <col min="8" max="8" width="13.7109375" style="1" bestFit="1" customWidth="1"/>
    <col min="9" max="16384" width="9.140625" style="1"/>
  </cols>
  <sheetData>
    <row r="1" spans="1:10" ht="18" customHeight="1" x14ac:dyDescent="0.25">
      <c r="A1" s="7" t="s">
        <v>0</v>
      </c>
      <c r="B1" s="7" t="s">
        <v>14</v>
      </c>
      <c r="C1" s="7" t="s">
        <v>5</v>
      </c>
      <c r="D1" s="4" t="s">
        <v>28</v>
      </c>
      <c r="E1" s="7" t="s">
        <v>2</v>
      </c>
    </row>
    <row r="2" spans="1:10" ht="18" customHeight="1" x14ac:dyDescent="0.25">
      <c r="A2" s="8">
        <v>1</v>
      </c>
      <c r="B2" s="8">
        <v>1</v>
      </c>
      <c r="C2" s="8">
        <v>2</v>
      </c>
      <c r="D2" s="5" t="s">
        <v>29</v>
      </c>
      <c r="E2" s="8">
        <v>1</v>
      </c>
      <c r="I2"/>
    </row>
    <row r="3" spans="1:10" ht="18" customHeight="1" x14ac:dyDescent="0.25">
      <c r="A3" s="8">
        <v>1</v>
      </c>
      <c r="B3" s="8">
        <v>2</v>
      </c>
      <c r="C3" s="8">
        <v>1</v>
      </c>
      <c r="D3" s="5" t="s">
        <v>30</v>
      </c>
      <c r="E3" s="8">
        <v>2</v>
      </c>
      <c r="I3" s="26" t="s">
        <v>0</v>
      </c>
      <c r="J3" s="26" t="s">
        <v>62</v>
      </c>
    </row>
    <row r="4" spans="1:10" ht="18" customHeight="1" x14ac:dyDescent="0.25">
      <c r="A4" s="8">
        <v>1</v>
      </c>
      <c r="B4" s="8">
        <v>3</v>
      </c>
      <c r="C4" s="8">
        <v>2</v>
      </c>
      <c r="D4" s="5" t="s">
        <v>31</v>
      </c>
      <c r="E4" s="8">
        <v>2</v>
      </c>
      <c r="I4" s="8">
        <v>1</v>
      </c>
      <c r="J4" s="8">
        <v>18</v>
      </c>
    </row>
    <row r="5" spans="1:10" ht="18" customHeight="1" x14ac:dyDescent="0.25">
      <c r="A5" s="8">
        <v>1</v>
      </c>
      <c r="B5" s="8">
        <v>4</v>
      </c>
      <c r="C5" s="8">
        <v>3</v>
      </c>
      <c r="D5" s="5" t="s">
        <v>32</v>
      </c>
      <c r="E5" s="8">
        <v>1</v>
      </c>
      <c r="I5" s="8">
        <v>2</v>
      </c>
      <c r="J5" s="8">
        <v>20</v>
      </c>
    </row>
    <row r="6" spans="1:10" ht="18" customHeight="1" x14ac:dyDescent="0.25">
      <c r="A6" s="8">
        <v>1</v>
      </c>
      <c r="B6" s="8">
        <v>5</v>
      </c>
      <c r="C6" s="8">
        <v>4</v>
      </c>
      <c r="D6" s="5" t="s">
        <v>33</v>
      </c>
      <c r="E6" s="8">
        <v>2</v>
      </c>
      <c r="I6" s="8">
        <v>3</v>
      </c>
      <c r="J6" s="8">
        <v>22</v>
      </c>
    </row>
    <row r="7" spans="1:10" ht="18" customHeight="1" x14ac:dyDescent="0.25">
      <c r="A7" s="8">
        <v>1</v>
      </c>
      <c r="B7" s="8">
        <v>6</v>
      </c>
      <c r="C7" s="8">
        <v>5</v>
      </c>
      <c r="D7" s="5" t="s">
        <v>34</v>
      </c>
      <c r="E7" s="8">
        <v>2</v>
      </c>
      <c r="G7"/>
      <c r="H7"/>
      <c r="I7" s="26" t="s">
        <v>9</v>
      </c>
      <c r="J7" s="26">
        <f>SUM(J4:J6)</f>
        <v>60</v>
      </c>
    </row>
    <row r="8" spans="1:10" ht="18" customHeight="1" x14ac:dyDescent="0.25">
      <c r="A8" s="8">
        <v>1</v>
      </c>
      <c r="B8" s="8">
        <v>7</v>
      </c>
      <c r="C8" s="8">
        <v>6</v>
      </c>
      <c r="D8" s="5" t="s">
        <v>35</v>
      </c>
      <c r="E8" s="8">
        <v>2</v>
      </c>
      <c r="G8"/>
      <c r="H8"/>
      <c r="I8"/>
    </row>
    <row r="9" spans="1:10" ht="18" customHeight="1" x14ac:dyDescent="0.25">
      <c r="A9" s="8">
        <v>1</v>
      </c>
      <c r="B9" s="8">
        <v>8</v>
      </c>
      <c r="C9" s="8">
        <v>7</v>
      </c>
      <c r="D9" s="5" t="s">
        <v>36</v>
      </c>
      <c r="E9" s="8">
        <v>2</v>
      </c>
      <c r="G9"/>
      <c r="H9"/>
      <c r="I9"/>
    </row>
    <row r="10" spans="1:10" ht="18" customHeight="1" x14ac:dyDescent="0.25">
      <c r="A10" s="8">
        <v>1</v>
      </c>
      <c r="B10" s="8">
        <v>9</v>
      </c>
      <c r="C10" s="8" t="s">
        <v>86</v>
      </c>
      <c r="D10" s="5" t="s">
        <v>37</v>
      </c>
      <c r="E10" s="8">
        <v>0</v>
      </c>
      <c r="G10"/>
      <c r="H10"/>
      <c r="I10"/>
    </row>
    <row r="11" spans="1:10" ht="18" customHeight="1" x14ac:dyDescent="0.25">
      <c r="A11" s="8">
        <v>1</v>
      </c>
      <c r="B11" s="8">
        <v>10</v>
      </c>
      <c r="C11" s="8">
        <v>8</v>
      </c>
      <c r="D11" s="5" t="s">
        <v>80</v>
      </c>
      <c r="E11" s="8">
        <v>2</v>
      </c>
      <c r="G11"/>
      <c r="H11"/>
      <c r="I11"/>
    </row>
    <row r="12" spans="1:10" ht="18" customHeight="1" x14ac:dyDescent="0.25">
      <c r="A12" s="8">
        <v>1</v>
      </c>
      <c r="B12" s="8">
        <v>10</v>
      </c>
      <c r="C12" s="8">
        <v>9</v>
      </c>
      <c r="D12" s="5" t="s">
        <v>21</v>
      </c>
      <c r="E12" s="8">
        <v>2</v>
      </c>
      <c r="F12" s="1">
        <f>SUM(E2:E12)</f>
        <v>18</v>
      </c>
      <c r="G12" s="25">
        <v>18</v>
      </c>
      <c r="H12"/>
      <c r="I12"/>
    </row>
    <row r="13" spans="1:10" ht="18" customHeight="1" x14ac:dyDescent="0.25">
      <c r="A13" s="8">
        <v>2</v>
      </c>
      <c r="B13" s="8">
        <v>11</v>
      </c>
      <c r="C13" s="8">
        <v>10</v>
      </c>
      <c r="D13" s="5" t="s">
        <v>87</v>
      </c>
      <c r="E13" s="8">
        <v>1</v>
      </c>
      <c r="G13" s="25"/>
      <c r="H13"/>
      <c r="I13"/>
    </row>
    <row r="14" spans="1:10" ht="18" customHeight="1" x14ac:dyDescent="0.25">
      <c r="A14" s="8">
        <v>2</v>
      </c>
      <c r="B14" s="8">
        <v>11</v>
      </c>
      <c r="C14" s="8">
        <v>10</v>
      </c>
      <c r="D14" s="5" t="s">
        <v>38</v>
      </c>
      <c r="E14" s="8">
        <v>2</v>
      </c>
      <c r="G14"/>
      <c r="H14"/>
      <c r="I14"/>
    </row>
    <row r="15" spans="1:10" ht="18" customHeight="1" x14ac:dyDescent="0.25">
      <c r="A15" s="8">
        <v>2</v>
      </c>
      <c r="B15" s="8">
        <v>12</v>
      </c>
      <c r="C15" s="40" t="s">
        <v>89</v>
      </c>
      <c r="D15" s="5" t="s">
        <v>39</v>
      </c>
      <c r="E15" s="8">
        <v>3</v>
      </c>
      <c r="G15"/>
      <c r="H15"/>
      <c r="I15"/>
    </row>
    <row r="16" spans="1:10" ht="18" customHeight="1" x14ac:dyDescent="0.25">
      <c r="A16" s="8">
        <v>2</v>
      </c>
      <c r="B16" s="8">
        <v>13</v>
      </c>
      <c r="C16" s="8">
        <v>13</v>
      </c>
      <c r="D16" s="5" t="s">
        <v>40</v>
      </c>
      <c r="E16" s="8">
        <v>3</v>
      </c>
      <c r="G16"/>
      <c r="H16"/>
      <c r="I16"/>
    </row>
    <row r="17" spans="1:9" ht="18" customHeight="1" x14ac:dyDescent="0.25">
      <c r="A17" s="8">
        <v>2</v>
      </c>
      <c r="B17" s="8">
        <v>14</v>
      </c>
      <c r="C17" s="8">
        <v>14</v>
      </c>
      <c r="D17" s="5" t="s">
        <v>41</v>
      </c>
      <c r="E17" s="8">
        <v>2</v>
      </c>
      <c r="G17"/>
      <c r="H17"/>
      <c r="I17"/>
    </row>
    <row r="18" spans="1:9" ht="18" customHeight="1" x14ac:dyDescent="0.25">
      <c r="A18" s="8">
        <v>2</v>
      </c>
      <c r="B18" s="8">
        <v>15</v>
      </c>
      <c r="C18" s="8">
        <v>15</v>
      </c>
      <c r="D18" s="5" t="s">
        <v>42</v>
      </c>
      <c r="E18" s="8">
        <v>2</v>
      </c>
      <c r="G18"/>
      <c r="H18"/>
      <c r="I18"/>
    </row>
    <row r="19" spans="1:9" ht="18" customHeight="1" x14ac:dyDescent="0.25">
      <c r="A19" s="8">
        <v>2</v>
      </c>
      <c r="B19" s="8">
        <v>16</v>
      </c>
      <c r="C19" s="8">
        <v>16</v>
      </c>
      <c r="D19" s="5" t="s">
        <v>43</v>
      </c>
      <c r="E19" s="8">
        <v>2</v>
      </c>
      <c r="G19"/>
      <c r="H19"/>
      <c r="I19"/>
    </row>
    <row r="20" spans="1:9" ht="28.5" x14ac:dyDescent="0.25">
      <c r="A20" s="8">
        <v>2</v>
      </c>
      <c r="B20" s="8">
        <v>17</v>
      </c>
      <c r="C20" s="8" t="s">
        <v>68</v>
      </c>
      <c r="D20" s="5" t="s">
        <v>44</v>
      </c>
      <c r="E20" s="8">
        <v>0</v>
      </c>
      <c r="G20"/>
      <c r="H20"/>
      <c r="I20"/>
    </row>
    <row r="21" spans="1:9" ht="18" customHeight="1" x14ac:dyDescent="0.25">
      <c r="A21" s="8">
        <v>2</v>
      </c>
      <c r="B21" s="8">
        <v>18</v>
      </c>
      <c r="C21" s="8">
        <v>17</v>
      </c>
      <c r="D21" s="5" t="s">
        <v>45</v>
      </c>
      <c r="E21" s="8">
        <v>1</v>
      </c>
      <c r="G21"/>
      <c r="H21"/>
      <c r="I21"/>
    </row>
    <row r="22" spans="1:9" ht="18" customHeight="1" x14ac:dyDescent="0.25">
      <c r="A22" s="8">
        <v>2</v>
      </c>
      <c r="B22" s="8">
        <v>19</v>
      </c>
      <c r="C22" s="8">
        <v>18</v>
      </c>
      <c r="D22" s="5" t="s">
        <v>80</v>
      </c>
      <c r="E22" s="8">
        <v>2</v>
      </c>
      <c r="G22"/>
      <c r="H22"/>
      <c r="I22"/>
    </row>
    <row r="23" spans="1:9" ht="18" customHeight="1" x14ac:dyDescent="0.25">
      <c r="A23" s="8">
        <v>2</v>
      </c>
      <c r="B23" s="8">
        <v>19</v>
      </c>
      <c r="C23" s="8">
        <v>19</v>
      </c>
      <c r="D23" s="5" t="s">
        <v>60</v>
      </c>
      <c r="E23" s="8">
        <v>2</v>
      </c>
      <c r="F23" s="1">
        <f>SUM(E13:E23)</f>
        <v>20</v>
      </c>
      <c r="G23" s="25">
        <v>20</v>
      </c>
    </row>
    <row r="24" spans="1:9" ht="18" customHeight="1" x14ac:dyDescent="0.25">
      <c r="A24" s="8">
        <v>3</v>
      </c>
      <c r="B24" s="8">
        <v>20</v>
      </c>
      <c r="C24" s="8">
        <v>20</v>
      </c>
      <c r="D24" s="5" t="s">
        <v>46</v>
      </c>
      <c r="E24" s="8">
        <v>2</v>
      </c>
    </row>
    <row r="25" spans="1:9" ht="18" customHeight="1" x14ac:dyDescent="0.25">
      <c r="A25" s="8">
        <v>3</v>
      </c>
      <c r="B25" s="8">
        <v>21</v>
      </c>
      <c r="C25" s="8">
        <v>21</v>
      </c>
      <c r="D25" s="5" t="s">
        <v>47</v>
      </c>
      <c r="E25" s="8">
        <v>2</v>
      </c>
    </row>
    <row r="26" spans="1:9" ht="18" customHeight="1" x14ac:dyDescent="0.25">
      <c r="A26" s="8">
        <v>3</v>
      </c>
      <c r="B26" s="8">
        <v>22</v>
      </c>
      <c r="C26" s="8" t="s">
        <v>68</v>
      </c>
      <c r="D26" s="5" t="s">
        <v>48</v>
      </c>
      <c r="E26" s="8">
        <v>0</v>
      </c>
    </row>
    <row r="27" spans="1:9" ht="18" customHeight="1" x14ac:dyDescent="0.25">
      <c r="A27" s="8">
        <v>3</v>
      </c>
      <c r="B27" s="8">
        <v>23</v>
      </c>
      <c r="C27" s="8" t="s">
        <v>68</v>
      </c>
      <c r="D27" s="5" t="s">
        <v>49</v>
      </c>
      <c r="E27" s="8">
        <v>0</v>
      </c>
    </row>
    <row r="28" spans="1:9" ht="18" customHeight="1" x14ac:dyDescent="0.25">
      <c r="A28" s="8">
        <v>3</v>
      </c>
      <c r="B28" s="8">
        <v>24</v>
      </c>
      <c r="C28" s="8">
        <v>22</v>
      </c>
      <c r="D28" s="5" t="s">
        <v>50</v>
      </c>
      <c r="E28" s="8">
        <v>2</v>
      </c>
    </row>
    <row r="29" spans="1:9" ht="18" customHeight="1" x14ac:dyDescent="0.25">
      <c r="A29" s="8">
        <v>3</v>
      </c>
      <c r="B29" s="8">
        <v>25</v>
      </c>
      <c r="C29" s="8">
        <v>23</v>
      </c>
      <c r="D29" s="5" t="s">
        <v>51</v>
      </c>
      <c r="E29" s="8">
        <v>3</v>
      </c>
    </row>
    <row r="30" spans="1:9" ht="18" customHeight="1" x14ac:dyDescent="0.25">
      <c r="A30" s="8">
        <v>3</v>
      </c>
      <c r="B30" s="8">
        <v>26</v>
      </c>
      <c r="C30" s="8">
        <v>24</v>
      </c>
      <c r="D30" s="5" t="s">
        <v>52</v>
      </c>
      <c r="E30" s="8">
        <v>0</v>
      </c>
    </row>
    <row r="31" spans="1:9" ht="18" customHeight="1" x14ac:dyDescent="0.25">
      <c r="A31" s="8">
        <v>3</v>
      </c>
      <c r="B31" s="8">
        <v>27</v>
      </c>
      <c r="C31" s="8">
        <v>25</v>
      </c>
      <c r="D31" s="5" t="s">
        <v>53</v>
      </c>
      <c r="E31" s="41">
        <v>0</v>
      </c>
    </row>
    <row r="32" spans="1:9" ht="18" customHeight="1" x14ac:dyDescent="0.25">
      <c r="A32" s="8">
        <v>3</v>
      </c>
      <c r="B32" s="8">
        <v>28</v>
      </c>
      <c r="C32" s="8">
        <v>25</v>
      </c>
      <c r="D32" s="5" t="s">
        <v>54</v>
      </c>
      <c r="E32" s="41">
        <v>1</v>
      </c>
    </row>
    <row r="33" spans="1:7" ht="18" customHeight="1" x14ac:dyDescent="0.25">
      <c r="A33" s="8">
        <v>3</v>
      </c>
      <c r="B33" s="8">
        <v>29</v>
      </c>
      <c r="C33" s="8" t="s">
        <v>68</v>
      </c>
      <c r="D33" s="5" t="s">
        <v>55</v>
      </c>
      <c r="E33" s="41">
        <v>0</v>
      </c>
    </row>
    <row r="34" spans="1:7" ht="18" customHeight="1" x14ac:dyDescent="0.25">
      <c r="A34" s="8">
        <v>3</v>
      </c>
      <c r="B34" s="8">
        <v>30</v>
      </c>
      <c r="C34" s="8">
        <v>26</v>
      </c>
      <c r="D34" s="5" t="s">
        <v>56</v>
      </c>
      <c r="E34" s="8">
        <v>2</v>
      </c>
    </row>
    <row r="35" spans="1:7" ht="18" customHeight="1" x14ac:dyDescent="0.25">
      <c r="A35" s="8">
        <v>3</v>
      </c>
      <c r="B35" s="8">
        <v>31</v>
      </c>
      <c r="C35" s="8">
        <v>27</v>
      </c>
      <c r="D35" s="5" t="s">
        <v>57</v>
      </c>
      <c r="E35" s="8">
        <v>2</v>
      </c>
    </row>
    <row r="36" spans="1:7" ht="18" customHeight="1" x14ac:dyDescent="0.25">
      <c r="A36" s="8">
        <v>3</v>
      </c>
      <c r="B36" s="8">
        <v>32</v>
      </c>
      <c r="C36" s="8">
        <v>28</v>
      </c>
      <c r="D36" s="5" t="s">
        <v>58</v>
      </c>
      <c r="E36" s="8">
        <v>2</v>
      </c>
    </row>
    <row r="37" spans="1:7" ht="18" customHeight="1" x14ac:dyDescent="0.25">
      <c r="A37" s="8">
        <v>3</v>
      </c>
      <c r="B37" s="8">
        <v>33</v>
      </c>
      <c r="C37" s="8" t="s">
        <v>68</v>
      </c>
      <c r="D37" s="5" t="s">
        <v>59</v>
      </c>
      <c r="E37" s="8">
        <v>2</v>
      </c>
    </row>
    <row r="38" spans="1:7" ht="18" customHeight="1" x14ac:dyDescent="0.25">
      <c r="A38" s="8">
        <v>3</v>
      </c>
      <c r="B38" s="8">
        <v>34</v>
      </c>
      <c r="C38" s="8">
        <v>29</v>
      </c>
      <c r="D38" s="5" t="s">
        <v>80</v>
      </c>
      <c r="E38" s="8">
        <v>2</v>
      </c>
    </row>
    <row r="39" spans="1:7" ht="18" customHeight="1" x14ac:dyDescent="0.25">
      <c r="A39" s="8">
        <v>3</v>
      </c>
      <c r="B39" s="8">
        <v>35</v>
      </c>
      <c r="C39" s="8">
        <v>30</v>
      </c>
      <c r="D39" s="5" t="s">
        <v>61</v>
      </c>
      <c r="E39" s="8">
        <v>2</v>
      </c>
      <c r="F39" s="1">
        <f>SUM(E24:E39)</f>
        <v>22</v>
      </c>
      <c r="G39" s="25">
        <v>22</v>
      </c>
    </row>
  </sheetData>
  <sortState xmlns:xlrd2="http://schemas.microsoft.com/office/spreadsheetml/2017/richdata2" ref="A2:G30">
    <sortCondition ref="B2:B30"/>
    <sortCondition ref="A2:A30"/>
  </sortState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zoomScale="160" zoomScaleNormal="160" workbookViewId="0"/>
  </sheetViews>
  <sheetFormatPr baseColWidth="10" defaultColWidth="11.42578125" defaultRowHeight="14.25" x14ac:dyDescent="0.25"/>
  <cols>
    <col min="1" max="1" width="7.28515625" style="1" bestFit="1" customWidth="1"/>
    <col min="2" max="2" width="46.7109375" style="1" bestFit="1" customWidth="1"/>
    <col min="3" max="16384" width="11.42578125" style="1"/>
  </cols>
  <sheetData>
    <row r="1" spans="1:3" x14ac:dyDescent="0.25">
      <c r="A1" s="2" t="s">
        <v>0</v>
      </c>
      <c r="B1" s="2" t="s">
        <v>4</v>
      </c>
      <c r="C1" s="2" t="s">
        <v>3</v>
      </c>
    </row>
    <row r="2" spans="1:3" x14ac:dyDescent="0.25">
      <c r="A2" s="3">
        <v>1</v>
      </c>
      <c r="B2" s="3" t="s">
        <v>25</v>
      </c>
      <c r="C2" s="3">
        <v>18</v>
      </c>
    </row>
    <row r="3" spans="1:3" x14ac:dyDescent="0.25">
      <c r="A3" s="3">
        <v>2</v>
      </c>
      <c r="B3" s="3" t="s">
        <v>26</v>
      </c>
      <c r="C3" s="3">
        <v>20</v>
      </c>
    </row>
    <row r="4" spans="1:3" x14ac:dyDescent="0.25">
      <c r="A4" s="3">
        <v>3</v>
      </c>
      <c r="B4" s="3" t="s">
        <v>27</v>
      </c>
      <c r="C4" s="3">
        <v>22</v>
      </c>
    </row>
    <row r="5" spans="1:3" x14ac:dyDescent="0.25">
      <c r="C5" s="3">
        <f>SUM(C2:C4)</f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06110</vt:lpstr>
      <vt:lpstr>06111</vt:lpstr>
      <vt:lpstr>Concepts</vt:lpstr>
      <vt:lpstr>Parties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</dc:creator>
  <cp:lastModifiedBy>Sylvain Bérubé</cp:lastModifiedBy>
  <dcterms:created xsi:type="dcterms:W3CDTF">2015-06-05T18:19:34Z</dcterms:created>
  <dcterms:modified xsi:type="dcterms:W3CDTF">2025-12-18T09:56:43Z</dcterms:modified>
</cp:coreProperties>
</file>